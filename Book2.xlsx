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ECH1643\Documents\"/>
    </mc:Choice>
  </mc:AlternateContent>
  <xr:revisionPtr revIDLastSave="0" documentId="13_ncr:1_{C54011DE-B742-4C51-B959-4AFA9D2C7027}" xr6:coauthVersionLast="47" xr6:coauthVersionMax="47" xr10:uidLastSave="{00000000-0000-0000-0000-000000000000}"/>
  <bookViews>
    <workbookView xWindow="-120" yWindow="-120" windowWidth="25440" windowHeight="15390" activeTab="3" xr2:uid="{436EC511-B3CE-4443-A5B6-EFCEDB32E5DB}"/>
  </bookViews>
  <sheets>
    <sheet name="Sheet3" sheetId="3" r:id="rId1"/>
    <sheet name="Sheet1" sheetId="1" r:id="rId2"/>
    <sheet name="Sheet5" sheetId="10" r:id="rId3"/>
    <sheet name="ADVANCED EXCEL" sheetId="11" r:id="rId4"/>
    <sheet name="PROBLEM" sheetId="7" r:id="rId5"/>
  </sheets>
  <definedNames>
    <definedName name="_xlchart.v5.0" hidden="1">Sheet5!$P$28</definedName>
    <definedName name="_xlchart.v5.1" hidden="1">Sheet5!$P$29</definedName>
    <definedName name="_xlchart.v5.2" hidden="1">Sheet5!$P$28</definedName>
    <definedName name="_xlchart.v5.3" hidden="1">Sheet5!$P$29</definedName>
    <definedName name="_xlcn.WorksheetConnection_Book2.xlsxTable_ExternalData_11" hidden="1">Table_ExternalData_1</definedName>
    <definedName name="Slicer_DEPARTMENT1">#N/A</definedName>
  </definedNames>
  <calcPr calcId="191029"/>
  <pivotCaches>
    <pivotCache cacheId="0" r:id="rId6"/>
    <pivotCache cacheId="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Book2.xlsx!Table_ExternalData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6" i="11" l="1"/>
  <c r="F87" i="11"/>
  <c r="F88" i="11"/>
  <c r="F89" i="11"/>
  <c r="E86" i="11"/>
  <c r="E89" i="11"/>
  <c r="E88" i="11"/>
  <c r="E87" i="11"/>
  <c r="B76" i="11"/>
  <c r="B75" i="11"/>
  <c r="D75" i="11"/>
  <c r="C75" i="11"/>
  <c r="D69" i="11"/>
  <c r="C69" i="11"/>
  <c r="B65" i="11"/>
  <c r="B69" i="11" s="1"/>
  <c r="B58" i="11"/>
  <c r="B53" i="11"/>
  <c r="B42" i="11"/>
  <c r="B37" i="11"/>
  <c r="B32" i="11"/>
  <c r="B27" i="11"/>
  <c r="B22" i="11"/>
  <c r="E6" i="11"/>
  <c r="E7" i="11"/>
  <c r="E8" i="11"/>
  <c r="E9" i="11"/>
  <c r="E10" i="11"/>
  <c r="E11" i="11"/>
  <c r="D7" i="11"/>
  <c r="D8" i="11"/>
  <c r="D9" i="11"/>
  <c r="D10" i="11"/>
  <c r="D11" i="11"/>
  <c r="D6" i="11"/>
  <c r="C17" i="7"/>
  <c r="C16" i="7"/>
  <c r="C15" i="7"/>
  <c r="B6" i="1"/>
  <c r="C6" i="1" s="1"/>
  <c r="C14" i="7"/>
  <c r="C13" i="7"/>
  <c r="C5" i="1"/>
  <c r="C2" i="1"/>
  <c r="C12" i="7"/>
  <c r="B9" i="1"/>
  <c r="C9" i="1" s="1"/>
  <c r="F7" i="7"/>
  <c r="F8" i="7"/>
  <c r="F9" i="7"/>
  <c r="F10" i="7"/>
  <c r="F11" i="7"/>
  <c r="F2" i="7"/>
  <c r="F3" i="7"/>
  <c r="F4" i="7"/>
  <c r="F5" i="7"/>
  <c r="F6" i="7"/>
  <c r="E11" i="7"/>
  <c r="E10" i="7"/>
  <c r="E9" i="7"/>
  <c r="E3" i="7"/>
  <c r="E4" i="7"/>
  <c r="E5" i="7"/>
  <c r="E6" i="7"/>
  <c r="E7" i="7"/>
  <c r="E8" i="7"/>
  <c r="E2" i="7"/>
  <c r="Q6" i="1"/>
  <c r="Q5" i="1"/>
  <c r="Q4" i="1"/>
  <c r="P5" i="1"/>
  <c r="P6" i="1"/>
  <c r="P4" i="1"/>
  <c r="D4" i="1"/>
  <c r="C7" i="1"/>
  <c r="C8" i="1"/>
  <c r="C4" i="1"/>
  <c r="C3" i="1"/>
  <c r="B8" i="1"/>
  <c r="B7" i="1"/>
  <c r="B5" i="1"/>
  <c r="D2" i="1" l="1"/>
  <c r="D5" i="1"/>
  <c r="D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D4578D-4E31-4136-9B6D-2CD77E6283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CC8E1B-2D20-404C-B6A8-7FA80BE873F8}" name="WorksheetConnection_Book2.xlsx!Table_ExternalData_1" type="102" refreshedVersion="8" minRefreshableVersion="5">
    <extLst>
      <ext xmlns:x15="http://schemas.microsoft.com/office/spreadsheetml/2010/11/main" uri="{DE250136-89BD-433C-8126-D09CA5730AF9}">
        <x15:connection id="Table_ExternalData_1">
          <x15:rangePr sourceName="_xlcn.WorksheetConnection_Book2.xlsxTable_ExternalData_11"/>
        </x15:connection>
      </ext>
    </extLst>
  </connection>
</connections>
</file>

<file path=xl/sharedStrings.xml><?xml version="1.0" encoding="utf-8"?>
<sst xmlns="http://schemas.openxmlformats.org/spreadsheetml/2006/main" count="207" uniqueCount="125">
  <si>
    <t>SITA</t>
  </si>
  <si>
    <t>NAME</t>
  </si>
  <si>
    <t>ARUN</t>
  </si>
  <si>
    <t>KIRAN</t>
  </si>
  <si>
    <t>MARKS</t>
  </si>
  <si>
    <t>TOTAL</t>
  </si>
  <si>
    <t>AVERAGE</t>
  </si>
  <si>
    <t>MINIMUM</t>
  </si>
  <si>
    <t>MAXIMUM</t>
  </si>
  <si>
    <t>COUNT</t>
  </si>
  <si>
    <t>TOTAL PASSED STUDENTS</t>
  </si>
  <si>
    <t>TOTAL FAILED STUNDENTS</t>
  </si>
  <si>
    <t>SUM OF PASSED STUDENTS MARKS</t>
  </si>
  <si>
    <t>SUM OF FAILED STUDENTS MARKS</t>
  </si>
  <si>
    <t>ID</t>
  </si>
  <si>
    <t>SALARY</t>
  </si>
  <si>
    <t>RAM</t>
  </si>
  <si>
    <t>RAVI</t>
  </si>
  <si>
    <t>VLOOKUP</t>
  </si>
  <si>
    <t>E</t>
  </si>
  <si>
    <t>XLOOKUP</t>
  </si>
  <si>
    <t>VLOOKUP=(LOOKUP VALUE,TABLE RANGE,COLUMN NUMBER,EXACT MATCH)</t>
  </si>
  <si>
    <t>EX : VLOOKUP=(O4,J3:L5,3,FALSE) VLOOKUP USED TO FIND DATA FROM ANOTHER TABLE</t>
  </si>
  <si>
    <t>XLOOKUP IS SAME AS VLOOKUP BUT IT DOESNOT NEED NO COLUMN NUMBER AND ALSO WORKS LEFT &amp;RIGHT  SAFER THAN VLOOKUP</t>
  </si>
  <si>
    <t>EX:XLOOKUP(O4,J3:J5,L3:L5)</t>
  </si>
  <si>
    <t>PIVOT TABLE</t>
  </si>
  <si>
    <t>DEPARTMENT</t>
  </si>
  <si>
    <t>ANU</t>
  </si>
  <si>
    <t>IT</t>
  </si>
  <si>
    <t>HR</t>
  </si>
  <si>
    <t>FINANCE</t>
  </si>
  <si>
    <t>Row Labels</t>
  </si>
  <si>
    <t>Grand Total</t>
  </si>
  <si>
    <t>Sum of MARKS</t>
  </si>
  <si>
    <t xml:space="preserve">PIVOT TABLE  IS USED TO 1.SUMMARIZE LARGE DATA  2.CREATE REPORTS IN SECONDS  3.ANALYZE DATA WITHOUT FORMULAS </t>
  </si>
  <si>
    <t xml:space="preserve">NOTE:PIVOT TABLES ARE USED FOR QUICK DATA ANALYSIS AND SUMMARY REPORTS </t>
  </si>
  <si>
    <t>Count of NAME</t>
  </si>
  <si>
    <t>CHECK SHEET 2 ,SHEET 3 ARE EXAMPLES OF PIVOT TABLE</t>
  </si>
  <si>
    <t>SNEHA</t>
  </si>
  <si>
    <t>THE PIVOT TABLE USED TO SUMMARIZE AND ANALYZE LARGE DATA QUICKLY</t>
  </si>
  <si>
    <t>XLOOP IS MORE FLEXIBLE AND SAFER THAN VLOOP</t>
  </si>
  <si>
    <t>IF  FUNCTION IS LOGICAL DECISION MAKING FUNCTION</t>
  </si>
  <si>
    <t>SLICERS ARE VISUAL FILTERS FOR PIVOT TABLES</t>
  </si>
  <si>
    <t xml:space="preserve">FOR PIVOT CHARTS GO TO INSERT IN THE DIALOG BOX THERE IS AN PIVOT CHART ICON AND FOR SLICER CLICK THE PIVOT CHART ANYWHERE  AND SELECT SLICER </t>
  </si>
  <si>
    <t>STUDENT ID</t>
  </si>
  <si>
    <t>S101</t>
  </si>
  <si>
    <t>S102</t>
  </si>
  <si>
    <t>S103</t>
  </si>
  <si>
    <t>S104</t>
  </si>
  <si>
    <t>S105</t>
  </si>
  <si>
    <t>S106</t>
  </si>
  <si>
    <t>S107</t>
  </si>
  <si>
    <t>MEENA</t>
  </si>
  <si>
    <t>MEERA</t>
  </si>
  <si>
    <t>PASS /FAIL</t>
  </si>
  <si>
    <t>S108</t>
  </si>
  <si>
    <t>S109</t>
  </si>
  <si>
    <t>S110</t>
  </si>
  <si>
    <t>KASI</t>
  </si>
  <si>
    <t>VASU</t>
  </si>
  <si>
    <t>GRADE</t>
  </si>
  <si>
    <t>TOTAL STUDENTS</t>
  </si>
  <si>
    <t>PASSED STUDENTS</t>
  </si>
  <si>
    <t>FAILED STUDENTS</t>
  </si>
  <si>
    <t>AVERAGE MARKS</t>
  </si>
  <si>
    <t>HIGHEST MARKS</t>
  </si>
  <si>
    <t>LOWEST MARKS</t>
  </si>
  <si>
    <t>Column Labels</t>
  </si>
  <si>
    <t>(All)</t>
  </si>
  <si>
    <t>ADVANCED EXCEL CLASSES</t>
  </si>
  <si>
    <t>LESSON 1:</t>
  </si>
  <si>
    <t>IF+AND+OR</t>
  </si>
  <si>
    <t>AND FUNCTION :</t>
  </si>
  <si>
    <t>PAVANI</t>
  </si>
  <si>
    <t>KALYANI</t>
  </si>
  <si>
    <t>KEERTHI</t>
  </si>
  <si>
    <t>ANUSHA</t>
  </si>
  <si>
    <t>SHARANYA</t>
  </si>
  <si>
    <t>AND</t>
  </si>
  <si>
    <t>OR</t>
  </si>
  <si>
    <t>ATTENDENCE</t>
  </si>
  <si>
    <t xml:space="preserve">AND---&gt;&gt;&gt;ALL CONDITIONS MUST BE TRUE                                                                                    </t>
  </si>
  <si>
    <t>OR----&gt;&gt;&gt;ANY ONE CONDITION TRUE</t>
  </si>
  <si>
    <t>USED WITH IF FOR COMPLEX DECISIONS</t>
  </si>
  <si>
    <t>IF CONDITON AND WRITTEN VALUE</t>
  </si>
  <si>
    <t>LESSON2:</t>
  </si>
  <si>
    <t>TEXT FUNCTIONS (DATA CLEANING - VERY IMPORTANT)</t>
  </si>
  <si>
    <t xml:space="preserve">     TASK 1:    TRIM - REMOVE EXTRA SPACES(MOST IMPORTANT)</t>
  </si>
  <si>
    <t>PROBLEM:</t>
  </si>
  <si>
    <t>"SNEHA      LATHA"</t>
  </si>
  <si>
    <t>1.REMOVES EXTRA SPACE</t>
  </si>
  <si>
    <t>2.KEEPS SINGLE SPACE BETWEEN WORDS</t>
  </si>
  <si>
    <t xml:space="preserve">     TASK 2:    LEN - COUNT CHARACTERS</t>
  </si>
  <si>
    <t>1.COUNT LETTERS + SPACES</t>
  </si>
  <si>
    <t>2.USEFUL TO FIND HIDDEN SPACES</t>
  </si>
  <si>
    <t xml:space="preserve">     TASK 3:    LEFT - EXTRACT FROM LEFT</t>
  </si>
  <si>
    <t>IT COUNTS EACH CHARACTER &amp;SPECIAL CHARACTER &amp;NUMBERS</t>
  </si>
  <si>
    <t xml:space="preserve">     TASK 4:    RIGHT - EXTRACT FROM RIGHT</t>
  </si>
  <si>
    <t xml:space="preserve">     TASK 5:    MID - EXTRACT FROM MIDDLE</t>
  </si>
  <si>
    <t>IT EXTRACTS THE  WORD OR SENTENCE FROM THE LEFT SIDE</t>
  </si>
  <si>
    <t>IT EXTRACTS THE  WORD OR SENTENCE FROM THE RIGHT SIDE</t>
  </si>
  <si>
    <t>IT EXTRACTS THE WORD OR SENTENCE FROM THE FROM LETTER TO LETTER</t>
  </si>
  <si>
    <t>LESSON3:</t>
  </si>
  <si>
    <t>DATE &amp; TIME FUNCTIONS - (VERY IMPORTANT)</t>
  </si>
  <si>
    <t>DATES ARE ONE OF THE MOST CONFUSING BUT POWERFUL PARTS OF EXCEL.</t>
  </si>
  <si>
    <t>ONCE YOU UNDERSTAND THIS,YOUR EXCEL LEVEL GOES VERY HIGH</t>
  </si>
  <si>
    <t>EXCEL STORES DATES AS NUMBERS</t>
  </si>
  <si>
    <t>EX:01-JAN-2024 = SOME NUMBER INTERNALLY</t>
  </si>
  <si>
    <t xml:space="preserve">     TASK 1:    TODAY() - CURRENT DATE</t>
  </si>
  <si>
    <t>IT UPDATES EVERY DAY</t>
  </si>
  <si>
    <t>USED IN REPORTS,ATTENDENCE,TRACKING</t>
  </si>
  <si>
    <t xml:space="preserve">     TASK 2:    NOW() - CURRENT DATE &amp; TIME</t>
  </si>
  <si>
    <t>NOTE:WHEN EXCEL SHOWS ### IT MEANS 1.COLOUM WIDTH IS TOO SMALL  SO INCREASE THE COLOUM WIDTH IT WILL SHOW RIGHT VALUE 2.DOUBLE CLICK THE BORDER</t>
  </si>
  <si>
    <t>SHOWS DATE + TIME</t>
  </si>
  <si>
    <t>UPDATES AUTOMATICALLY</t>
  </si>
  <si>
    <t xml:space="preserve">     TASK 3:    DATE() - CREATE A DATE MANUALLY</t>
  </si>
  <si>
    <t>USED WHEN YEAR ,MONTH ,DAY ARE IN DIFFERENT CELLS</t>
  </si>
  <si>
    <t>FOR CALCULATING YEARS FORMULA IS =DATEDIF(CELL,TODAY(),"Y")</t>
  </si>
  <si>
    <t>HERE THERE IS ONE THING WITH DAYS LIKE IT WILL SHOW REMAINING DAYS TO COMPLETE MONTH</t>
  </si>
  <si>
    <t xml:space="preserve">     TASK 4:    CALCULATE DIFFERENCE BETWEEN DATES- (VERY IMPORTANT)</t>
  </si>
  <si>
    <t xml:space="preserve">     TASK 5:    EXACT DAY/MONTH/YEAR- (VERY IMPORTANT)</t>
  </si>
  <si>
    <t>"Y" ----&gt;&gt;&gt; COMPLETED YEARS</t>
  </si>
  <si>
    <t>"YM"----&gt;&gt;&gt;REMAINING MONTHS(AFTER YEARS)</t>
  </si>
  <si>
    <t>"MD"----&gt;&gt;&gt;REMAINING DAYS(AFTER MONTHS)</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</si>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</sst>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i/>
      <u/>
      <sz val="11"/>
      <color theme="1"/>
      <name val="Aptos Narrow"/>
      <family val="2"/>
      <scheme val="minor"/>
    </font>
    <font>
      <sz val="8"/>
      <name val="Aptos Narrow"/>
      <family val="2"/>
      <scheme val="minor"/>
    </font>
    <font>
      <sz val="10"/>
      <color theme="1"/>
      <name val="Aptos Narrow"/>
      <family val="2"/>
      <scheme val="minor"/>
    </font>
    <font>
      <b/>
      <sz val="18"/>
      <color theme="1"/>
      <name val="Aptos Narrow"/>
      <family val="2"/>
      <scheme val="minor"/>
    </font>
    <font>
      <b/>
      <u/>
      <sz val="12"/>
      <color theme="1"/>
      <name val="Aptos Narrow"/>
      <family val="2"/>
      <scheme val="minor"/>
    </font>
    <font>
      <b/>
      <sz val="12"/>
      <color theme="1"/>
      <name val="Aptos Narrow"/>
      <family val="2"/>
      <scheme val="minor"/>
    </font>
    <font>
      <b/>
      <u/>
      <sz val="14"/>
      <color theme="1"/>
      <name val="Aptos Narrow"/>
      <family val="2"/>
      <scheme val="minor"/>
    </font>
    <font>
      <sz val="14"/>
      <color theme="1"/>
      <name val="Aptos Narrow"/>
      <family val="2"/>
      <scheme val="minor"/>
    </font>
    <font>
      <b/>
      <u/>
      <sz val="16"/>
      <color theme="1"/>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70">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0" xfId="0" applyAlignment="1">
      <alignment horizontal="center"/>
    </xf>
    <xf numFmtId="0" fontId="0" fillId="0" borderId="0" xfId="0" applyAlignment="1">
      <alignment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3" xfId="0" applyBorder="1" applyAlignment="1">
      <alignment horizontal="center" vertical="center"/>
    </xf>
    <xf numFmtId="0" fontId="1" fillId="0" borderId="2" xfId="0" applyFont="1" applyBorder="1" applyAlignment="1">
      <alignment vertical="center"/>
    </xf>
    <xf numFmtId="0" fontId="1" fillId="0" borderId="0" xfId="0" applyFont="1" applyAlignment="1">
      <alignment vertical="center"/>
    </xf>
    <xf numFmtId="0" fontId="0" fillId="0" borderId="1" xfId="0" applyBorder="1" applyAlignment="1">
      <alignment horizontal="center" vertical="top"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horizontal="center" vertical="center"/>
    </xf>
    <xf numFmtId="0" fontId="0" fillId="0" borderId="0" xfId="0" applyNumberFormat="1"/>
    <xf numFmtId="0" fontId="0" fillId="0" borderId="0" xfId="0" applyAlignment="1"/>
    <xf numFmtId="0" fontId="1" fillId="0" borderId="0" xfId="0" applyFont="1"/>
    <xf numFmtId="0" fontId="4" fillId="0" borderId="0" xfId="0" applyFont="1"/>
    <xf numFmtId="0" fontId="0" fillId="0" borderId="4" xfId="0" applyBorder="1" applyAlignment="1"/>
    <xf numFmtId="0" fontId="0" fillId="0" borderId="5" xfId="0" applyBorder="1"/>
    <xf numFmtId="0" fontId="0" fillId="0" borderId="6" xfId="0" applyBorder="1"/>
    <xf numFmtId="0" fontId="0" fillId="0" borderId="7" xfId="0" applyBorder="1"/>
    <xf numFmtId="0" fontId="0" fillId="0" borderId="4" xfId="0" applyFill="1" applyBorder="1" applyAlignment="1">
      <alignment horizontal="center"/>
    </xf>
    <xf numFmtId="0" fontId="7" fillId="0" borderId="0" xfId="0" applyFont="1" applyFill="1" applyBorder="1" applyAlignment="1"/>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7" fillId="0" borderId="0" xfId="0" applyFont="1"/>
    <xf numFmtId="0" fontId="7" fillId="0" borderId="0" xfId="0" applyFont="1" applyFill="1" applyBorder="1" applyAlignment="1">
      <alignment horizontal="center"/>
    </xf>
    <xf numFmtId="0" fontId="0" fillId="0" borderId="8" xfId="0" applyFill="1" applyBorder="1" applyAlignment="1">
      <alignment horizontal="center"/>
    </xf>
    <xf numFmtId="0" fontId="7" fillId="0" borderId="2" xfId="0" applyFont="1" applyFill="1" applyBorder="1" applyAlignment="1">
      <alignment horizontal="center"/>
    </xf>
    <xf numFmtId="0" fontId="1" fillId="0" borderId="2" xfId="0" applyFont="1" applyBorder="1"/>
    <xf numFmtId="0" fontId="0" fillId="0" borderId="0" xfId="0" applyBorder="1"/>
    <xf numFmtId="0" fontId="0" fillId="0" borderId="2" xfId="0" applyBorder="1"/>
    <xf numFmtId="0" fontId="7" fillId="0" borderId="2" xfId="0" applyFont="1" applyFill="1" applyBorder="1" applyAlignment="1"/>
    <xf numFmtId="0" fontId="0" fillId="0" borderId="0" xfId="0" applyBorder="1" applyAlignment="1">
      <alignment horizontal="center" vertical="center"/>
    </xf>
    <xf numFmtId="0" fontId="0" fillId="0" borderId="0" xfId="0" applyBorder="1" applyAlignment="1">
      <alignment horizontal="center"/>
    </xf>
    <xf numFmtId="0" fontId="0" fillId="0" borderId="6" xfId="0" applyBorder="1" applyAlignment="1">
      <alignment horizontal="center"/>
    </xf>
    <xf numFmtId="0" fontId="0" fillId="0" borderId="9" xfId="0" applyBorder="1"/>
    <xf numFmtId="0" fontId="0" fillId="0" borderId="10" xfId="0" applyBorder="1"/>
    <xf numFmtId="0" fontId="0" fillId="0" borderId="4"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7" fillId="0" borderId="6" xfId="0" applyFont="1" applyFill="1" applyBorder="1" applyAlignment="1">
      <alignment horizont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14" fontId="0" fillId="0" borderId="0" xfId="0" applyNumberFormat="1" applyBorder="1"/>
    <xf numFmtId="22" fontId="0" fillId="0" borderId="0" xfId="0" applyNumberFormat="1" applyBorder="1"/>
    <xf numFmtId="0" fontId="1" fillId="0" borderId="2" xfId="0" applyFont="1" applyBorder="1" applyAlignment="1">
      <alignment horizontal="center" wrapText="1"/>
    </xf>
    <xf numFmtId="0" fontId="1" fillId="0" borderId="0" xfId="0" applyFont="1" applyBorder="1" applyAlignment="1">
      <alignment horizontal="center" wrapText="1"/>
    </xf>
    <xf numFmtId="0" fontId="1" fillId="0" borderId="6" xfId="0" applyFont="1" applyBorder="1" applyAlignment="1">
      <alignment horizontal="center" wrapText="1"/>
    </xf>
    <xf numFmtId="0" fontId="0" fillId="0" borderId="0" xfId="0" applyNumberFormat="1" applyBorder="1"/>
    <xf numFmtId="0" fontId="0" fillId="0" borderId="10" xfId="0" applyNumberFormat="1" applyBorder="1"/>
    <xf numFmtId="0" fontId="0" fillId="0" borderId="8" xfId="0" applyBorder="1"/>
    <xf numFmtId="0" fontId="0" fillId="0" borderId="4" xfId="0" applyBorder="1"/>
    <xf numFmtId="0" fontId="10" fillId="0" borderId="2" xfId="0" applyFont="1" applyBorder="1"/>
    <xf numFmtId="0" fontId="1" fillId="0" borderId="0" xfId="0" applyFont="1" applyBorder="1" applyAlignment="1">
      <alignment horizontal="center" vertical="center"/>
    </xf>
  </cellXfs>
  <cellStyles count="1">
    <cellStyle name="Normal" xfId="0" builtinId="0"/>
  </cellStyles>
  <dxfs count="7">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MARKS</c:v>
                </c:pt>
              </c:strCache>
            </c:strRef>
          </c:tx>
          <c:spPr>
            <a:solidFill>
              <a:schemeClr val="accent1"/>
            </a:solidFill>
            <a:ln>
              <a:noFill/>
            </a:ln>
            <a:effectLst/>
          </c:spPr>
          <c:invertIfNegative val="0"/>
          <c:cat>
            <c:strRef>
              <c:f>Sheet3!$A$4:$A$7</c:f>
              <c:strCache>
                <c:ptCount val="3"/>
                <c:pt idx="0">
                  <c:v>FINANCE</c:v>
                </c:pt>
                <c:pt idx="1">
                  <c:v>HR</c:v>
                </c:pt>
                <c:pt idx="2">
                  <c:v>IT</c:v>
                </c:pt>
              </c:strCache>
            </c:strRef>
          </c:cat>
          <c:val>
            <c:numRef>
              <c:f>Sheet3!$B$4:$B$7</c:f>
              <c:numCache>
                <c:formatCode>General</c:formatCode>
                <c:ptCount val="3"/>
                <c:pt idx="0">
                  <c:v>75</c:v>
                </c:pt>
                <c:pt idx="1">
                  <c:v>175</c:v>
                </c:pt>
                <c:pt idx="2">
                  <c:v>150</c:v>
                </c:pt>
              </c:numCache>
            </c:numRef>
          </c:val>
          <c:extLst>
            <c:ext xmlns:c16="http://schemas.microsoft.com/office/drawing/2014/chart" uri="{C3380CC4-5D6E-409C-BE32-E72D297353CC}">
              <c16:uniqueId val="{00000000-372B-4E19-BD40-5653F4566BC6}"/>
            </c:ext>
          </c:extLst>
        </c:ser>
        <c:ser>
          <c:idx val="1"/>
          <c:order val="1"/>
          <c:tx>
            <c:strRef>
              <c:f>Sheet3!$C$3</c:f>
              <c:strCache>
                <c:ptCount val="1"/>
                <c:pt idx="0">
                  <c:v>Count of NAME</c:v>
                </c:pt>
              </c:strCache>
            </c:strRef>
          </c:tx>
          <c:spPr>
            <a:solidFill>
              <a:schemeClr val="accent2"/>
            </a:solidFill>
            <a:ln>
              <a:noFill/>
            </a:ln>
            <a:effectLst/>
          </c:spPr>
          <c:invertIfNegative val="0"/>
          <c:cat>
            <c:strRef>
              <c:f>Sheet3!$A$4:$A$7</c:f>
              <c:strCache>
                <c:ptCount val="3"/>
                <c:pt idx="0">
                  <c:v>FINANCE</c:v>
                </c:pt>
                <c:pt idx="1">
                  <c:v>HR</c:v>
                </c:pt>
                <c:pt idx="2">
                  <c:v>IT</c:v>
                </c:pt>
              </c:strCache>
            </c:strRef>
          </c:cat>
          <c:val>
            <c:numRef>
              <c:f>Sheet3!$C$4:$C$7</c:f>
              <c:numCache>
                <c:formatCode>General</c:formatCode>
                <c:ptCount val="3"/>
                <c:pt idx="0">
                  <c:v>1</c:v>
                </c:pt>
                <c:pt idx="1">
                  <c:v>2</c:v>
                </c:pt>
                <c:pt idx="2">
                  <c:v>2</c:v>
                </c:pt>
              </c:numCache>
            </c:numRef>
          </c:val>
          <c:extLst>
            <c:ext xmlns:c16="http://schemas.microsoft.com/office/drawing/2014/chart" uri="{C3380CC4-5D6E-409C-BE32-E72D297353CC}">
              <c16:uniqueId val="{00000001-372B-4E19-BD40-5653F4566BC6}"/>
            </c:ext>
          </c:extLst>
        </c:ser>
        <c:dLbls>
          <c:showLegendKey val="0"/>
          <c:showVal val="0"/>
          <c:showCatName val="0"/>
          <c:showSerName val="0"/>
          <c:showPercent val="0"/>
          <c:showBubbleSize val="0"/>
        </c:dLbls>
        <c:gapWidth val="219"/>
        <c:overlap val="-27"/>
        <c:axId val="935331487"/>
        <c:axId val="935334847"/>
      </c:barChart>
      <c:catAx>
        <c:axId val="93533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334847"/>
        <c:crosses val="autoZero"/>
        <c:auto val="1"/>
        <c:lblAlgn val="ctr"/>
        <c:lblOffset val="100"/>
        <c:noMultiLvlLbl val="0"/>
      </c:catAx>
      <c:valAx>
        <c:axId val="9353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33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8092738407697"/>
          <c:y val="0.13653944298629339"/>
          <c:w val="0.63566819772528438"/>
          <c:h val="0.65890128317293672"/>
        </c:manualLayout>
      </c:layout>
      <c:lineChart>
        <c:grouping val="standard"/>
        <c:varyColors val="0"/>
        <c:ser>
          <c:idx val="0"/>
          <c:order val="0"/>
          <c:tx>
            <c:strRef>
              <c:f>Sheet3!$B$3</c:f>
              <c:strCache>
                <c:ptCount val="1"/>
                <c:pt idx="0">
                  <c:v>Sum of MARKS</c:v>
                </c:pt>
              </c:strCache>
            </c:strRef>
          </c:tx>
          <c:spPr>
            <a:ln w="28575" cap="rnd">
              <a:solidFill>
                <a:schemeClr val="accent1"/>
              </a:solidFill>
              <a:round/>
            </a:ln>
            <a:effectLst/>
          </c:spPr>
          <c:marker>
            <c:symbol val="none"/>
          </c:marker>
          <c:cat>
            <c:strRef>
              <c:f>Sheet3!$A$4:$A$7</c:f>
              <c:strCache>
                <c:ptCount val="3"/>
                <c:pt idx="0">
                  <c:v>FINANCE</c:v>
                </c:pt>
                <c:pt idx="1">
                  <c:v>HR</c:v>
                </c:pt>
                <c:pt idx="2">
                  <c:v>IT</c:v>
                </c:pt>
              </c:strCache>
            </c:strRef>
          </c:cat>
          <c:val>
            <c:numRef>
              <c:f>Sheet3!$B$4:$B$7</c:f>
              <c:numCache>
                <c:formatCode>General</c:formatCode>
                <c:ptCount val="3"/>
                <c:pt idx="0">
                  <c:v>75</c:v>
                </c:pt>
                <c:pt idx="1">
                  <c:v>175</c:v>
                </c:pt>
                <c:pt idx="2">
                  <c:v>150</c:v>
                </c:pt>
              </c:numCache>
            </c:numRef>
          </c:val>
          <c:smooth val="0"/>
          <c:extLst>
            <c:ext xmlns:c16="http://schemas.microsoft.com/office/drawing/2014/chart" uri="{C3380CC4-5D6E-409C-BE32-E72D297353CC}">
              <c16:uniqueId val="{00000000-BB1C-4E14-A294-0697CB367857}"/>
            </c:ext>
          </c:extLst>
        </c:ser>
        <c:ser>
          <c:idx val="1"/>
          <c:order val="1"/>
          <c:tx>
            <c:strRef>
              <c:f>Sheet3!$C$3</c:f>
              <c:strCache>
                <c:ptCount val="1"/>
                <c:pt idx="0">
                  <c:v>Count of NAME</c:v>
                </c:pt>
              </c:strCache>
            </c:strRef>
          </c:tx>
          <c:spPr>
            <a:ln w="28575" cap="rnd">
              <a:solidFill>
                <a:schemeClr val="accent2"/>
              </a:solidFill>
              <a:round/>
            </a:ln>
            <a:effectLst/>
          </c:spPr>
          <c:marker>
            <c:symbol val="none"/>
          </c:marker>
          <c:cat>
            <c:strRef>
              <c:f>Sheet3!$A$4:$A$7</c:f>
              <c:strCache>
                <c:ptCount val="3"/>
                <c:pt idx="0">
                  <c:v>FINANCE</c:v>
                </c:pt>
                <c:pt idx="1">
                  <c:v>HR</c:v>
                </c:pt>
                <c:pt idx="2">
                  <c:v>IT</c:v>
                </c:pt>
              </c:strCache>
            </c:strRef>
          </c:cat>
          <c:val>
            <c:numRef>
              <c:f>Sheet3!$C$4:$C$7</c:f>
              <c:numCache>
                <c:formatCode>General</c:formatCode>
                <c:ptCount val="3"/>
                <c:pt idx="0">
                  <c:v>1</c:v>
                </c:pt>
                <c:pt idx="1">
                  <c:v>2</c:v>
                </c:pt>
                <c:pt idx="2">
                  <c:v>2</c:v>
                </c:pt>
              </c:numCache>
            </c:numRef>
          </c:val>
          <c:smooth val="0"/>
          <c:extLst>
            <c:ext xmlns:c16="http://schemas.microsoft.com/office/drawing/2014/chart" uri="{C3380CC4-5D6E-409C-BE32-E72D297353CC}">
              <c16:uniqueId val="{00000001-BB1C-4E14-A294-0697CB367857}"/>
            </c:ext>
          </c:extLst>
        </c:ser>
        <c:dLbls>
          <c:showLegendKey val="0"/>
          <c:showVal val="0"/>
          <c:showCatName val="0"/>
          <c:showSerName val="0"/>
          <c:showPercent val="0"/>
          <c:showBubbleSize val="0"/>
        </c:dLbls>
        <c:smooth val="0"/>
        <c:axId val="1367993007"/>
        <c:axId val="1367993487"/>
      </c:lineChart>
      <c:catAx>
        <c:axId val="136799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93487"/>
        <c:crosses val="autoZero"/>
        <c:auto val="1"/>
        <c:lblAlgn val="ctr"/>
        <c:lblOffset val="100"/>
        <c:noMultiLvlLbl val="0"/>
      </c:catAx>
      <c:valAx>
        <c:axId val="13679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[Book2.xlsx]Sheet3!PivotTable2</c:name>
    <c:fmtId val="2"/>
  </c:pivotSource>
  <c:chart>
    <c:title>
      <c:layout>
        <c:manualLayout>
          <c:xMode val="edge"/>
          <c:yMode val="edge"/>
          <c:x val="0.4119512248468940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Sheet3!$B$3</c:f>
              <c:strCache>
                <c:ptCount val="1"/>
                <c:pt idx="0">
                  <c:v>Sum of MARKS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64-48B0-A6A2-C12E369D6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64-48B0-A6A2-C12E369D69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64-48B0-A6A2-C12E369D69A8}"/>
              </c:ext>
            </c:extLst>
          </c:dPt>
          <c:cat>
            <c:strRef>
              <c:f>Sheet3!$A$4:$A$7</c:f>
              <c:strCache>
                <c:ptCount val="3"/>
                <c:pt idx="0">
                  <c:v>FINANCE</c:v>
                </c:pt>
                <c:pt idx="1">
                  <c:v>HR</c:v>
                </c:pt>
                <c:pt idx="2">
                  <c:v>IT</c:v>
                </c:pt>
              </c:strCache>
            </c:strRef>
          </c:cat>
          <c:val>
            <c:numRef>
              <c:f>Sheet3!$B$4:$B$7</c:f>
              <c:numCache>
                <c:formatCode>General</c:formatCode>
                <c:ptCount val="3"/>
                <c:pt idx="0">
                  <c:v>75</c:v>
                </c:pt>
                <c:pt idx="1">
                  <c:v>175</c:v>
                </c:pt>
                <c:pt idx="2">
                  <c:v>150</c:v>
                </c:pt>
              </c:numCache>
            </c:numRef>
          </c:val>
          <c:extLst>
            <c:ext xmlns:c16="http://schemas.microsoft.com/office/drawing/2014/chart" uri="{C3380CC4-5D6E-409C-BE32-E72D297353CC}">
              <c16:uniqueId val="{00000000-B6D0-44A5-AA12-862B52C64AC8}"/>
            </c:ext>
          </c:extLst>
        </c:ser>
        <c:ser>
          <c:idx val="1"/>
          <c:order val="1"/>
          <c:tx>
            <c:strRef>
              <c:f>Sheet3!$C$3</c:f>
              <c:strCache>
                <c:ptCount val="1"/>
                <c:pt idx="0">
                  <c:v>Count of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B64-48B0-A6A2-C12E369D6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B64-48B0-A6A2-C12E369D69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B64-48B0-A6A2-C12E369D69A8}"/>
              </c:ext>
            </c:extLst>
          </c:dPt>
          <c:cat>
            <c:strRef>
              <c:f>Sheet3!$A$4:$A$7</c:f>
              <c:strCache>
                <c:ptCount val="3"/>
                <c:pt idx="0">
                  <c:v>FINANCE</c:v>
                </c:pt>
                <c:pt idx="1">
                  <c:v>HR</c:v>
                </c:pt>
                <c:pt idx="2">
                  <c:v>IT</c:v>
                </c:pt>
              </c:strCache>
            </c:strRef>
          </c:cat>
          <c:val>
            <c:numRef>
              <c:f>Sheet3!$C$4:$C$7</c:f>
              <c:numCache>
                <c:formatCode>General</c:formatCode>
                <c:ptCount val="3"/>
                <c:pt idx="0">
                  <c:v>1</c:v>
                </c:pt>
                <c:pt idx="1">
                  <c:v>2</c:v>
                </c:pt>
                <c:pt idx="2">
                  <c:v>2</c:v>
                </c:pt>
              </c:numCache>
            </c:numRef>
          </c:val>
          <c:extLst>
            <c:ext xmlns:c16="http://schemas.microsoft.com/office/drawing/2014/chart" uri="{C3380CC4-5D6E-409C-BE32-E72D297353CC}">
              <c16:uniqueId val="{00000001-B6D0-44A5-AA12-862B52C64A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[Book2.xlsx]Sheet5!PivotTable1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Sheet5!$B$5:$B$6</c:f>
              <c:strCache>
                <c:ptCount val="1"/>
                <c:pt idx="0">
                  <c:v>FINANCE</c:v>
                </c:pt>
              </c:strCache>
            </c:strRef>
          </c:tx>
          <c:spPr>
            <a:solidFill>
              <a:schemeClr val="accent1"/>
            </a:solidFill>
            <a:ln>
              <a:noFill/>
            </a:ln>
            <a:effectLst/>
          </c:spPr>
          <c:invertIfNegative val="0"/>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Sheet5!$B$7:$B$17</c:f>
              <c:numCache>
                <c:formatCode>General</c:formatCode>
                <c:ptCount val="10"/>
                <c:pt idx="0">
                  <c:v>35</c:v>
                </c:pt>
                <c:pt idx="3">
                  <c:v>85</c:v>
                </c:pt>
                <c:pt idx="4">
                  <c:v>45</c:v>
                </c:pt>
              </c:numCache>
            </c:numRef>
          </c:val>
          <c:extLst>
            <c:ext xmlns:c16="http://schemas.microsoft.com/office/drawing/2014/chart" uri="{C3380CC4-5D6E-409C-BE32-E72D297353CC}">
              <c16:uniqueId val="{00000000-80EE-400A-A985-72811BED8E58}"/>
            </c:ext>
          </c:extLst>
        </c:ser>
        <c:ser>
          <c:idx val="1"/>
          <c:order val="1"/>
          <c:tx>
            <c:strRef>
              <c:f>Sheet5!$C$5:$C$6</c:f>
              <c:strCache>
                <c:ptCount val="1"/>
                <c:pt idx="0">
                  <c:v>HR</c:v>
                </c:pt>
              </c:strCache>
            </c:strRef>
          </c:tx>
          <c:spPr>
            <a:solidFill>
              <a:schemeClr val="accent2"/>
            </a:solidFill>
            <a:ln>
              <a:noFill/>
            </a:ln>
            <a:effectLst/>
          </c:spPr>
          <c:invertIfNegative val="0"/>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Sheet5!$C$7:$C$17</c:f>
              <c:numCache>
                <c:formatCode>General</c:formatCode>
                <c:ptCount val="10"/>
                <c:pt idx="1">
                  <c:v>35</c:v>
                </c:pt>
                <c:pt idx="2">
                  <c:v>28</c:v>
                </c:pt>
                <c:pt idx="7">
                  <c:v>92</c:v>
                </c:pt>
              </c:numCache>
            </c:numRef>
          </c:val>
          <c:extLst>
            <c:ext xmlns:c16="http://schemas.microsoft.com/office/drawing/2014/chart" uri="{C3380CC4-5D6E-409C-BE32-E72D297353CC}">
              <c16:uniqueId val="{00000001-80EE-400A-A985-72811BED8E58}"/>
            </c:ext>
          </c:extLst>
        </c:ser>
        <c:ser>
          <c:idx val="2"/>
          <c:order val="2"/>
          <c:tx>
            <c:strRef>
              <c:f>Sheet5!$D$5:$D$6</c:f>
              <c:strCache>
                <c:ptCount val="1"/>
                <c:pt idx="0">
                  <c:v>IT</c:v>
                </c:pt>
              </c:strCache>
            </c:strRef>
          </c:tx>
          <c:spPr>
            <a:solidFill>
              <a:schemeClr val="accent3"/>
            </a:solidFill>
            <a:ln>
              <a:noFill/>
            </a:ln>
            <a:effectLst/>
          </c:spPr>
          <c:invertIfNegative val="0"/>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Sheet5!$D$7:$D$17</c:f>
              <c:numCache>
                <c:formatCode>General</c:formatCode>
                <c:ptCount val="10"/>
                <c:pt idx="5">
                  <c:v>78</c:v>
                </c:pt>
                <c:pt idx="6">
                  <c:v>64</c:v>
                </c:pt>
                <c:pt idx="8">
                  <c:v>10</c:v>
                </c:pt>
                <c:pt idx="9">
                  <c:v>34</c:v>
                </c:pt>
              </c:numCache>
            </c:numRef>
          </c:val>
          <c:extLst>
            <c:ext xmlns:c16="http://schemas.microsoft.com/office/drawing/2014/chart" uri="{C3380CC4-5D6E-409C-BE32-E72D297353CC}">
              <c16:uniqueId val="{00000002-80EE-400A-A985-72811BED8E58}"/>
            </c:ext>
          </c:extLst>
        </c:ser>
        <c:dLbls>
          <c:showLegendKey val="0"/>
          <c:showVal val="0"/>
          <c:showCatName val="0"/>
          <c:showSerName val="0"/>
          <c:showPercent val="0"/>
          <c:showBubbleSize val="0"/>
        </c:dLbls>
        <c:gapWidth val="219"/>
        <c:overlap val="-27"/>
        <c:axId val="319451375"/>
        <c:axId val="319452335"/>
      </c:barChart>
      <c:catAx>
        <c:axId val="31945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52335"/>
        <c:crosses val="autoZero"/>
        <c:auto val="1"/>
        <c:lblAlgn val="ctr"/>
        <c:lblOffset val="100"/>
        <c:noMultiLvlLbl val="0"/>
      </c:catAx>
      <c:valAx>
        <c:axId val="31945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[Book2.xlsx]Sheet5!PivotTable1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Sheet5!$B$5:$B$6</c:f>
              <c:strCache>
                <c:ptCount val="1"/>
                <c:pt idx="0">
                  <c:v>FINANCE</c:v>
                </c:pt>
              </c:strCache>
            </c:strRef>
          </c:tx>
          <c:spPr>
            <a:solidFill>
              <a:schemeClr val="accent1"/>
            </a:solidFill>
            <a:ln>
              <a:noFill/>
            </a:ln>
            <a:effectLst/>
          </c:spPr>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Sheet5!$B$7:$B$17</c:f>
              <c:numCache>
                <c:formatCode>General</c:formatCode>
                <c:ptCount val="10"/>
                <c:pt idx="0">
                  <c:v>35</c:v>
                </c:pt>
                <c:pt idx="3">
                  <c:v>85</c:v>
                </c:pt>
                <c:pt idx="4">
                  <c:v>45</c:v>
                </c:pt>
              </c:numCache>
            </c:numRef>
          </c:val>
          <c:extLst>
            <c:ext xmlns:c16="http://schemas.microsoft.com/office/drawing/2014/chart" uri="{C3380CC4-5D6E-409C-BE32-E72D297353CC}">
              <c16:uniqueId val="{00000000-6687-4EA1-8C03-058AB59E06DB}"/>
            </c:ext>
          </c:extLst>
        </c:ser>
        <c:ser>
          <c:idx val="1"/>
          <c:order val="1"/>
          <c:tx>
            <c:strRef>
              <c:f>Sheet5!$C$5:$C$6</c:f>
              <c:strCache>
                <c:ptCount val="1"/>
                <c:pt idx="0">
                  <c:v>HR</c:v>
                </c:pt>
              </c:strCache>
            </c:strRef>
          </c:tx>
          <c:spPr>
            <a:solidFill>
              <a:schemeClr val="accent2"/>
            </a:solidFill>
            <a:ln>
              <a:noFill/>
            </a:ln>
            <a:effectLst/>
          </c:spPr>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Sheet5!$C$7:$C$17</c:f>
              <c:numCache>
                <c:formatCode>General</c:formatCode>
                <c:ptCount val="10"/>
                <c:pt idx="1">
                  <c:v>35</c:v>
                </c:pt>
                <c:pt idx="2">
                  <c:v>28</c:v>
                </c:pt>
                <c:pt idx="7">
                  <c:v>92</c:v>
                </c:pt>
              </c:numCache>
            </c:numRef>
          </c:val>
          <c:extLst>
            <c:ext xmlns:c16="http://schemas.microsoft.com/office/drawing/2014/chart" uri="{C3380CC4-5D6E-409C-BE32-E72D297353CC}">
              <c16:uniqueId val="{00000001-6687-4EA1-8C03-058AB59E06DB}"/>
            </c:ext>
          </c:extLst>
        </c:ser>
        <c:ser>
          <c:idx val="2"/>
          <c:order val="2"/>
          <c:tx>
            <c:strRef>
              <c:f>Sheet5!$D$5:$D$6</c:f>
              <c:strCache>
                <c:ptCount val="1"/>
                <c:pt idx="0">
                  <c:v>IT</c:v>
                </c:pt>
              </c:strCache>
            </c:strRef>
          </c:tx>
          <c:spPr>
            <a:solidFill>
              <a:schemeClr val="accent3"/>
            </a:solidFill>
            <a:ln>
              <a:noFill/>
            </a:ln>
            <a:effectLst/>
          </c:spPr>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Sheet5!$D$7:$D$17</c:f>
              <c:numCache>
                <c:formatCode>General</c:formatCode>
                <c:ptCount val="10"/>
                <c:pt idx="5">
                  <c:v>78</c:v>
                </c:pt>
                <c:pt idx="6">
                  <c:v>64</c:v>
                </c:pt>
                <c:pt idx="8">
                  <c:v>10</c:v>
                </c:pt>
                <c:pt idx="9">
                  <c:v>34</c:v>
                </c:pt>
              </c:numCache>
            </c:numRef>
          </c:val>
          <c:extLst>
            <c:ext xmlns:c16="http://schemas.microsoft.com/office/drawing/2014/chart" uri="{C3380CC4-5D6E-409C-BE32-E72D297353CC}">
              <c16:uniqueId val="{00000002-6687-4EA1-8C03-058AB59E06DB}"/>
            </c:ext>
          </c:extLst>
        </c:ser>
        <c:dLbls>
          <c:showLegendKey val="0"/>
          <c:showVal val="0"/>
          <c:showCatName val="0"/>
          <c:showSerName val="0"/>
          <c:showPercent val="0"/>
          <c:showBubbleSize val="0"/>
        </c:dLbls>
        <c:axId val="176481935"/>
        <c:axId val="176462255"/>
      </c:areaChart>
      <c:catAx>
        <c:axId val="176481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2255"/>
        <c:crosses val="autoZero"/>
        <c:auto val="1"/>
        <c:lblAlgn val="ctr"/>
        <c:lblOffset val="100"/>
        <c:noMultiLvlLbl val="0"/>
      </c:catAx>
      <c:valAx>
        <c:axId val="17646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19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[Book2.xlsx]Sheet5!PivotTable1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Sheet5!$B$5:$B$6</c:f>
              <c:strCache>
                <c:ptCount val="1"/>
                <c:pt idx="0">
                  <c:v>FINANCE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Sheet5!$B$7:$B$17</c:f>
              <c:numCache>
                <c:formatCode>General</c:formatCode>
                <c:ptCount val="10"/>
                <c:pt idx="0">
                  <c:v>35</c:v>
                </c:pt>
                <c:pt idx="3">
                  <c:v>85</c:v>
                </c:pt>
                <c:pt idx="4">
                  <c:v>45</c:v>
                </c:pt>
              </c:numCache>
            </c:numRef>
          </c:val>
          <c:extLst>
            <c:ext xmlns:c16="http://schemas.microsoft.com/office/drawing/2014/chart" uri="{C3380CC4-5D6E-409C-BE32-E72D297353CC}">
              <c16:uniqueId val="{00000000-0F6E-4F58-9359-D49308DECCA4}"/>
            </c:ext>
          </c:extLst>
        </c:ser>
        <c:ser>
          <c:idx val="1"/>
          <c:order val="1"/>
          <c:tx>
            <c:strRef>
              <c:f>Sheet5!$C$5:$C$6</c:f>
              <c:strCache>
                <c:ptCount val="1"/>
                <c:pt idx="0">
                  <c:v>HR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Sheet5!$C$7:$C$17</c:f>
              <c:numCache>
                <c:formatCode>General</c:formatCode>
                <c:ptCount val="10"/>
                <c:pt idx="1">
                  <c:v>35</c:v>
                </c:pt>
                <c:pt idx="2">
                  <c:v>28</c:v>
                </c:pt>
                <c:pt idx="7">
                  <c:v>92</c:v>
                </c:pt>
              </c:numCache>
            </c:numRef>
          </c:val>
          <c:extLst>
            <c:ext xmlns:c16="http://schemas.microsoft.com/office/drawing/2014/chart" uri="{C3380CC4-5D6E-409C-BE32-E72D297353CC}">
              <c16:uniqueId val="{00000001-0F6E-4F58-9359-D49308DECCA4}"/>
            </c:ext>
          </c:extLst>
        </c:ser>
        <c:ser>
          <c:idx val="2"/>
          <c:order val="2"/>
          <c:tx>
            <c:strRef>
              <c:f>Sheet5!$D$5:$D$6</c:f>
              <c:strCache>
                <c:ptCount val="1"/>
                <c:pt idx="0">
                  <c:v>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Sheet5!$D$7:$D$17</c:f>
              <c:numCache>
                <c:formatCode>General</c:formatCode>
                <c:ptCount val="10"/>
                <c:pt idx="5">
                  <c:v>78</c:v>
                </c:pt>
                <c:pt idx="6">
                  <c:v>64</c:v>
                </c:pt>
                <c:pt idx="8">
                  <c:v>10</c:v>
                </c:pt>
                <c:pt idx="9">
                  <c:v>34</c:v>
                </c:pt>
              </c:numCache>
            </c:numRef>
          </c:val>
          <c:extLst>
            <c:ext xmlns:c16="http://schemas.microsoft.com/office/drawing/2014/chart" uri="{C3380CC4-5D6E-409C-BE32-E72D297353CC}">
              <c16:uniqueId val="{00000002-0F6E-4F58-9359-D49308DECC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[Book2.xlsx]Sheet5!PivotTable1</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Sheet5!$B$5:$B$6</c:f>
              <c:strCache>
                <c:ptCount val="1"/>
                <c:pt idx="0">
                  <c:v>FINANCE</c:v>
                </c:pt>
              </c:strCache>
            </c:strRef>
          </c:tx>
          <c:spPr>
            <a:solidFill>
              <a:schemeClr val="accent1"/>
            </a:solidFill>
            <a:ln>
              <a:noFill/>
            </a:ln>
            <a:effectLst/>
          </c:spPr>
          <c:invertIfNegative val="0"/>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Sheet5!$B$7:$B$17</c:f>
              <c:numCache>
                <c:formatCode>General</c:formatCode>
                <c:ptCount val="10"/>
                <c:pt idx="0">
                  <c:v>35</c:v>
                </c:pt>
                <c:pt idx="3">
                  <c:v>85</c:v>
                </c:pt>
                <c:pt idx="4">
                  <c:v>45</c:v>
                </c:pt>
              </c:numCache>
            </c:numRef>
          </c:val>
          <c:extLst>
            <c:ext xmlns:c16="http://schemas.microsoft.com/office/drawing/2014/chart" uri="{C3380CC4-5D6E-409C-BE32-E72D297353CC}">
              <c16:uniqueId val="{00000000-DE5A-41E1-8CB5-BF5D38A370D1}"/>
            </c:ext>
          </c:extLst>
        </c:ser>
        <c:ser>
          <c:idx val="1"/>
          <c:order val="1"/>
          <c:tx>
            <c:strRef>
              <c:f>Sheet5!$C$5:$C$6</c:f>
              <c:strCache>
                <c:ptCount val="1"/>
                <c:pt idx="0">
                  <c:v>HR</c:v>
                </c:pt>
              </c:strCache>
            </c:strRef>
          </c:tx>
          <c:spPr>
            <a:solidFill>
              <a:schemeClr val="accent2"/>
            </a:solidFill>
            <a:ln>
              <a:noFill/>
            </a:ln>
            <a:effectLst/>
          </c:spPr>
          <c:invertIfNegative val="0"/>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Sheet5!$C$7:$C$17</c:f>
              <c:numCache>
                <c:formatCode>General</c:formatCode>
                <c:ptCount val="10"/>
                <c:pt idx="1">
                  <c:v>35</c:v>
                </c:pt>
                <c:pt idx="2">
                  <c:v>28</c:v>
                </c:pt>
                <c:pt idx="7">
                  <c:v>92</c:v>
                </c:pt>
              </c:numCache>
            </c:numRef>
          </c:val>
          <c:extLst>
            <c:ext xmlns:c16="http://schemas.microsoft.com/office/drawing/2014/chart" uri="{C3380CC4-5D6E-409C-BE32-E72D297353CC}">
              <c16:uniqueId val="{00000001-DE5A-41E1-8CB5-BF5D38A370D1}"/>
            </c:ext>
          </c:extLst>
        </c:ser>
        <c:dLbls>
          <c:showLegendKey val="0"/>
          <c:showVal val="0"/>
          <c:showCatName val="0"/>
          <c:showSerName val="0"/>
          <c:showPercent val="0"/>
          <c:showBubbleSize val="0"/>
        </c:dLbls>
        <c:gapWidth val="150"/>
        <c:axId val="170554623"/>
        <c:axId val="170556543"/>
      </c:barChart>
      <c:lineChart>
        <c:grouping val="standard"/>
        <c:varyColors val="0"/>
        <c:ser>
          <c:idx val="2"/>
          <c:order val="2"/>
          <c:tx>
            <c:strRef>
              <c:f>Sheet5!$D$5:$D$6</c:f>
              <c:strCache>
                <c:ptCount val="1"/>
                <c:pt idx="0">
                  <c:v>IT</c:v>
                </c:pt>
              </c:strCache>
            </c:strRef>
          </c:tx>
          <c:spPr>
            <a:ln w="28575" cap="rnd">
              <a:solidFill>
                <a:schemeClr val="accent3"/>
              </a:solidFill>
              <a:round/>
            </a:ln>
            <a:effectLst/>
          </c:spPr>
          <c:marker>
            <c:symbol val="none"/>
          </c:marker>
          <c:cat>
            <c:strRef>
              <c:f>Sheet5!$A$7:$A$17</c:f>
              <c:strCache>
                <c:ptCount val="10"/>
                <c:pt idx="0">
                  <c:v>ANU</c:v>
                </c:pt>
                <c:pt idx="1">
                  <c:v>KASI</c:v>
                </c:pt>
                <c:pt idx="2">
                  <c:v>KIRAN</c:v>
                </c:pt>
                <c:pt idx="3">
                  <c:v>MEENA</c:v>
                </c:pt>
                <c:pt idx="4">
                  <c:v>MEERA</c:v>
                </c:pt>
                <c:pt idx="5">
                  <c:v>RAM</c:v>
                </c:pt>
                <c:pt idx="6">
                  <c:v>RAVI</c:v>
                </c:pt>
                <c:pt idx="7">
                  <c:v>SITA</c:v>
                </c:pt>
                <c:pt idx="8">
                  <c:v>SNEHA</c:v>
                </c:pt>
                <c:pt idx="9">
                  <c:v>VASU</c:v>
                </c:pt>
              </c:strCache>
            </c:strRef>
          </c:cat>
          <c:val>
            <c:numRef>
              <c:f>Sheet5!$D$7:$D$17</c:f>
              <c:numCache>
                <c:formatCode>General</c:formatCode>
                <c:ptCount val="10"/>
                <c:pt idx="5">
                  <c:v>78</c:v>
                </c:pt>
                <c:pt idx="6">
                  <c:v>64</c:v>
                </c:pt>
                <c:pt idx="8">
                  <c:v>10</c:v>
                </c:pt>
                <c:pt idx="9">
                  <c:v>34</c:v>
                </c:pt>
              </c:numCache>
            </c:numRef>
          </c:val>
          <c:smooth val="0"/>
          <c:extLst>
            <c:ext xmlns:c16="http://schemas.microsoft.com/office/drawing/2014/chart" uri="{C3380CC4-5D6E-409C-BE32-E72D297353CC}">
              <c16:uniqueId val="{00000002-DE5A-41E1-8CB5-BF5D38A370D1}"/>
            </c:ext>
          </c:extLst>
        </c:ser>
        <c:dLbls>
          <c:showLegendKey val="0"/>
          <c:showVal val="0"/>
          <c:showCatName val="0"/>
          <c:showSerName val="0"/>
          <c:showPercent val="0"/>
          <c:showBubbleSize val="0"/>
        </c:dLbls>
        <c:marker val="1"/>
        <c:smooth val="0"/>
        <c:axId val="170554623"/>
        <c:axId val="170556543"/>
      </c:lineChart>
      <c:catAx>
        <c:axId val="17055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6543"/>
        <c:auto val="1"/>
        <c:lblAlgn val="ctr"/>
        <c:lblOffset val="100"/>
        <c:noMultiLvlLbl val="0"/>
      </c:catAx>
      <c:valAx>
        <c:axId val="17055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462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colorVal">
        <cx:f>_xlchart.v5.3</cx:f>
        <cx:nf>_xlchart.v5.2</cx:nf>
      </cx:numDim>
    </cx:data>
  </cx:chartData>
  <cx:chart>
    <cx:title pos="t" align="ctr" overlay="0"/>
    <cx:plotArea>
      <cx:plotAreaRegion>
        <cx:series layoutId="regionMap" uniqueId="{C3DC4FE7-59A1-47CB-BE96-71C57CAA1FEA}">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200025</xdr:colOff>
      <xdr:row>1</xdr:row>
      <xdr:rowOff>166687</xdr:rowOff>
    </xdr:from>
    <xdr:to>
      <xdr:col>14</xdr:col>
      <xdr:colOff>504825</xdr:colOff>
      <xdr:row>16</xdr:row>
      <xdr:rowOff>52387</xdr:rowOff>
    </xdr:to>
    <xdr:graphicFrame macro="">
      <xdr:nvGraphicFramePr>
        <xdr:cNvPr id="2" name="Chart 1">
          <a:extLst>
            <a:ext uri="{FF2B5EF4-FFF2-40B4-BE49-F238E27FC236}">
              <a16:creationId xmlns:a16="http://schemas.microsoft.com/office/drawing/2014/main" id="{264AAC1D-349C-1E13-AC74-4F429DFBF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147637</xdr:rowOff>
    </xdr:from>
    <xdr:to>
      <xdr:col>7</xdr:col>
      <xdr:colOff>0</xdr:colOff>
      <xdr:row>25</xdr:row>
      <xdr:rowOff>33337</xdr:rowOff>
    </xdr:to>
    <xdr:graphicFrame macro="">
      <xdr:nvGraphicFramePr>
        <xdr:cNvPr id="3" name="Chart 2">
          <a:extLst>
            <a:ext uri="{FF2B5EF4-FFF2-40B4-BE49-F238E27FC236}">
              <a16:creationId xmlns:a16="http://schemas.microsoft.com/office/drawing/2014/main" id="{2F19BE87-E51B-00D5-EABD-1F105CAB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19</xdr:row>
      <xdr:rowOff>61912</xdr:rowOff>
    </xdr:from>
    <xdr:to>
      <xdr:col>14</xdr:col>
      <xdr:colOff>409575</xdr:colOff>
      <xdr:row>33</xdr:row>
      <xdr:rowOff>138112</xdr:rowOff>
    </xdr:to>
    <xdr:graphicFrame macro="">
      <xdr:nvGraphicFramePr>
        <xdr:cNvPr id="4" name="Chart 3">
          <a:extLst>
            <a:ext uri="{FF2B5EF4-FFF2-40B4-BE49-F238E27FC236}">
              <a16:creationId xmlns:a16="http://schemas.microsoft.com/office/drawing/2014/main" id="{70B051BB-AACA-8E9A-9421-22FF4DD6B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342900</xdr:colOff>
      <xdr:row>4</xdr:row>
      <xdr:rowOff>19050</xdr:rowOff>
    </xdr:from>
    <xdr:to>
      <xdr:col>18</xdr:col>
      <xdr:colOff>342900</xdr:colOff>
      <xdr:row>18</xdr:row>
      <xdr:rowOff>19050</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2E5BEDD5-F351-B426-C6EB-B505AED7C4C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791700" y="781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725261</xdr:colOff>
      <xdr:row>18</xdr:row>
      <xdr:rowOff>42861</xdr:rowOff>
    </xdr:from>
    <xdr:to>
      <xdr:col>12</xdr:col>
      <xdr:colOff>136072</xdr:colOff>
      <xdr:row>32</xdr:row>
      <xdr:rowOff>149678</xdr:rowOff>
    </xdr:to>
    <xdr:graphicFrame macro="">
      <xdr:nvGraphicFramePr>
        <xdr:cNvPr id="2" name="Chart 1">
          <a:extLst>
            <a:ext uri="{FF2B5EF4-FFF2-40B4-BE49-F238E27FC236}">
              <a16:creationId xmlns:a16="http://schemas.microsoft.com/office/drawing/2014/main" id="{0BD0C36A-82AA-8699-1D97-99DBF25B2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18</xdr:row>
      <xdr:rowOff>33337</xdr:rowOff>
    </xdr:from>
    <xdr:to>
      <xdr:col>6</xdr:col>
      <xdr:colOff>523875</xdr:colOff>
      <xdr:row>32</xdr:row>
      <xdr:rowOff>109537</xdr:rowOff>
    </xdr:to>
    <xdr:graphicFrame macro="">
      <xdr:nvGraphicFramePr>
        <xdr:cNvPr id="3" name="Chart 2">
          <a:extLst>
            <a:ext uri="{FF2B5EF4-FFF2-40B4-BE49-F238E27FC236}">
              <a16:creationId xmlns:a16="http://schemas.microsoft.com/office/drawing/2014/main" id="{596861BB-CF28-EE93-606C-00E7B06FE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941615</xdr:colOff>
      <xdr:row>2</xdr:row>
      <xdr:rowOff>81643</xdr:rowOff>
    </xdr:from>
    <xdr:to>
      <xdr:col>12</xdr:col>
      <xdr:colOff>327933</xdr:colOff>
      <xdr:row>16</xdr:row>
      <xdr:rowOff>157843</xdr:rowOff>
    </xdr:to>
    <xdr:graphicFrame macro="">
      <xdr:nvGraphicFramePr>
        <xdr:cNvPr id="4" name="Chart 3">
          <a:extLst>
            <a:ext uri="{FF2B5EF4-FFF2-40B4-BE49-F238E27FC236}">
              <a16:creationId xmlns:a16="http://schemas.microsoft.com/office/drawing/2014/main" id="{D7D2ACDB-F847-C785-D8FD-CD584045A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319767</xdr:colOff>
      <xdr:row>3</xdr:row>
      <xdr:rowOff>29936</xdr:rowOff>
    </xdr:from>
    <xdr:to>
      <xdr:col>18</xdr:col>
      <xdr:colOff>387803</xdr:colOff>
      <xdr:row>17</xdr:row>
      <xdr:rowOff>106136</xdr:rowOff>
    </xdr:to>
    <xdr:graphicFrame macro="">
      <xdr:nvGraphicFramePr>
        <xdr:cNvPr id="5" name="Chart 4">
          <a:extLst>
            <a:ext uri="{FF2B5EF4-FFF2-40B4-BE49-F238E27FC236}">
              <a16:creationId xmlns:a16="http://schemas.microsoft.com/office/drawing/2014/main" id="{0EC6F94D-82DB-8DAB-70A5-DF67892C2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401409</xdr:colOff>
      <xdr:row>18</xdr:row>
      <xdr:rowOff>43544</xdr:rowOff>
    </xdr:from>
    <xdr:to>
      <xdr:col>16</xdr:col>
      <xdr:colOff>353786</xdr:colOff>
      <xdr:row>32</xdr:row>
      <xdr:rowOff>119744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C27F43CE-3E1F-B37F-44D3-D7A24EA114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212159" y="3472544"/>
              <a:ext cx="225198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PPULA SNEHALATHA" refreshedDate="46015.584929282406" createdVersion="8" refreshedVersion="8" minRefreshableVersion="3" recordCount="5" xr:uid="{C68006F2-1494-446C-A38E-A45F559C714A}">
  <cacheSource type="worksheet">
    <worksheetSource ref="A15:C20" sheet="Sheet1"/>
  </cacheSource>
  <cacheFields count="3">
    <cacheField name="NAME" numFmtId="0">
      <sharedItems count="5">
        <s v="RAM"/>
        <s v="SITA"/>
        <s v="RAVI"/>
        <s v="ANU"/>
        <s v="KIRAN"/>
      </sharedItems>
    </cacheField>
    <cacheField name="DEPARTMENT" numFmtId="0">
      <sharedItems count="3">
        <s v="IT"/>
        <s v="HR"/>
        <s v="FINANCE"/>
      </sharedItems>
    </cacheField>
    <cacheField name="MARKS" numFmtId="0">
      <sharedItems containsSemiMixedTypes="0" containsString="0" containsNumber="1" containsInteger="1" minValue="70" maxValue="90" count="5">
        <n v="80"/>
        <n v="90"/>
        <n v="70"/>
        <n v="85"/>
        <n v="75"/>
      </sharedItems>
    </cacheField>
  </cacheFields>
  <extLst>
    <ext xmlns:x14="http://schemas.microsoft.com/office/spreadsheetml/2009/9/main" uri="{725AE2AE-9491-48be-B2B4-4EB974FC3084}">
      <x14:pivotCacheDefinition pivotCacheId="15826714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PPULA SNEHALATHA" refreshedDate="46030.496038773148" createdVersion="8" refreshedVersion="8" minRefreshableVersion="3" recordCount="10" xr:uid="{65748E2B-78FE-4756-82BD-8DA62DC34238}">
  <cacheSource type="worksheet">
    <worksheetSource ref="A1:F11" sheet="PROBLEM"/>
  </cacheSource>
  <cacheFields count="6">
    <cacheField name="STUDENT ID" numFmtId="0">
      <sharedItems count="10">
        <s v="S101"/>
        <s v="S102"/>
        <s v="S103"/>
        <s v="S104"/>
        <s v="S105"/>
        <s v="S106"/>
        <s v="S107"/>
        <s v="S108"/>
        <s v="S109"/>
        <s v="S110"/>
      </sharedItems>
    </cacheField>
    <cacheField name="NAME" numFmtId="0">
      <sharedItems count="10">
        <s v="RAM"/>
        <s v="SITA"/>
        <s v="RAVI"/>
        <s v="ANU"/>
        <s v="KIRAN"/>
        <s v="MEENA"/>
        <s v="MEERA"/>
        <s v="KASI"/>
        <s v="VASU"/>
        <s v="SNEHA"/>
      </sharedItems>
    </cacheField>
    <cacheField name="DEPARTMENT" numFmtId="0">
      <sharedItems count="3">
        <s v="IT"/>
        <s v="HR"/>
        <s v="FINANCE"/>
      </sharedItems>
    </cacheField>
    <cacheField name="MARKS" numFmtId="0">
      <sharedItems containsSemiMixedTypes="0" containsString="0" containsNumber="1" containsInteger="1" minValue="10" maxValue="92"/>
    </cacheField>
    <cacheField name="PASS /FAIL" numFmtId="0">
      <sharedItems count="2">
        <s v="PASS"/>
        <s v="FAIL"/>
      </sharedItems>
    </cacheField>
    <cacheField name="GRADE" numFmtId="0">
      <sharedItems count="5">
        <s v="B"/>
        <s v="A"/>
        <s v="C"/>
        <s v="D"/>
        <s v="FA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r>
  <r>
    <x v="1"/>
    <x v="1"/>
    <x v="1"/>
  </r>
  <r>
    <x v="2"/>
    <x v="0"/>
    <x v="2"/>
  </r>
  <r>
    <x v="3"/>
    <x v="1"/>
    <x v="3"/>
  </r>
  <r>
    <x v="4"/>
    <x v="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78"/>
    <x v="0"/>
    <x v="0"/>
  </r>
  <r>
    <x v="1"/>
    <x v="1"/>
    <x v="1"/>
    <n v="92"/>
    <x v="0"/>
    <x v="1"/>
  </r>
  <r>
    <x v="2"/>
    <x v="2"/>
    <x v="0"/>
    <n v="64"/>
    <x v="0"/>
    <x v="2"/>
  </r>
  <r>
    <x v="3"/>
    <x v="3"/>
    <x v="2"/>
    <n v="35"/>
    <x v="0"/>
    <x v="3"/>
  </r>
  <r>
    <x v="4"/>
    <x v="4"/>
    <x v="1"/>
    <n v="28"/>
    <x v="1"/>
    <x v="4"/>
  </r>
  <r>
    <x v="5"/>
    <x v="5"/>
    <x v="2"/>
    <n v="85"/>
    <x v="0"/>
    <x v="0"/>
  </r>
  <r>
    <x v="6"/>
    <x v="6"/>
    <x v="2"/>
    <n v="45"/>
    <x v="0"/>
    <x v="3"/>
  </r>
  <r>
    <x v="7"/>
    <x v="7"/>
    <x v="1"/>
    <n v="35"/>
    <x v="0"/>
    <x v="3"/>
  </r>
  <r>
    <x v="8"/>
    <x v="8"/>
    <x v="0"/>
    <n v="34"/>
    <x v="1"/>
    <x v="4"/>
  </r>
  <r>
    <x v="9"/>
    <x v="9"/>
    <x v="0"/>
    <n v="10"/>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07ACB-2949-4625-84FE-1A80EC75F9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3">
    <pivotField dataField="1" showAll="0">
      <items count="6">
        <item x="3"/>
        <item x="4"/>
        <item x="0"/>
        <item x="2"/>
        <item x="1"/>
        <item t="default"/>
      </items>
    </pivotField>
    <pivotField axis="axisRow" showAll="0">
      <items count="4">
        <item x="2"/>
        <item x="1"/>
        <item x="0"/>
        <item t="default"/>
      </items>
    </pivotField>
    <pivotField dataField="1" showAll="0">
      <items count="6">
        <item x="2"/>
        <item x="4"/>
        <item x="0"/>
        <item x="3"/>
        <item x="1"/>
        <item t="default"/>
      </items>
    </pivotField>
  </pivotFields>
  <rowFields count="1">
    <field x="1"/>
  </rowFields>
  <rowItems count="4">
    <i>
      <x/>
    </i>
    <i>
      <x v="1"/>
    </i>
    <i>
      <x v="2"/>
    </i>
    <i t="grand">
      <x/>
    </i>
  </rowItems>
  <colFields count="1">
    <field x="-2"/>
  </colFields>
  <colItems count="2">
    <i>
      <x/>
    </i>
    <i i="1">
      <x v="1"/>
    </i>
  </colItems>
  <dataFields count="2">
    <dataField name="Sum of MARKS" fld="2" baseField="1" baseItem="0"/>
    <dataField name="Count of NAME" fld="0" subtotal="count" baseField="1" baseItem="1"/>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1"/>
          </reference>
          <reference field="1" count="1" selected="0">
            <x v="0"/>
          </reference>
        </references>
      </pivotArea>
    </chartFormat>
    <chartFormat chart="2" format="6">
      <pivotArea type="data" outline="0" fieldPosition="0">
        <references count="2">
          <reference field="4294967294" count="1" selected="0">
            <x v="1"/>
          </reference>
          <reference field="1" count="1" selected="0">
            <x v="1"/>
          </reference>
        </references>
      </pivotArea>
    </chartFormat>
    <chartFormat chart="2" format="7">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3865A6-0A27-4605-A15F-8AB086148CC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E17" firstHeaderRow="1" firstDataRow="2" firstDataCol="1" rowPageCount="3" colPageCount="1"/>
  <pivotFields count="6">
    <pivotField axis="axisPage" showAll="0">
      <items count="11">
        <item x="0"/>
        <item x="1"/>
        <item x="2"/>
        <item x="3"/>
        <item x="4"/>
        <item x="5"/>
        <item x="6"/>
        <item x="7"/>
        <item x="8"/>
        <item x="9"/>
        <item t="default"/>
      </items>
    </pivotField>
    <pivotField axis="axisRow" showAll="0">
      <items count="11">
        <item x="3"/>
        <item x="7"/>
        <item x="4"/>
        <item x="5"/>
        <item x="6"/>
        <item x="0"/>
        <item x="2"/>
        <item x="1"/>
        <item x="9"/>
        <item x="8"/>
        <item t="default"/>
      </items>
    </pivotField>
    <pivotField axis="axisCol" showAll="0">
      <items count="4">
        <item x="2"/>
        <item x="1"/>
        <item x="0"/>
        <item t="default"/>
      </items>
    </pivotField>
    <pivotField dataField="1" showAll="0"/>
    <pivotField axis="axisPage" showAll="0">
      <items count="3">
        <item x="1"/>
        <item x="0"/>
        <item t="default"/>
      </items>
    </pivotField>
    <pivotField axis="axisPage" showAll="0">
      <items count="6">
        <item x="1"/>
        <item x="0"/>
        <item x="2"/>
        <item x="3"/>
        <item x="4"/>
        <item t="default"/>
      </items>
    </pivotField>
  </pivotFields>
  <rowFields count="1">
    <field x="1"/>
  </rowFields>
  <rowItems count="11">
    <i>
      <x/>
    </i>
    <i>
      <x v="1"/>
    </i>
    <i>
      <x v="2"/>
    </i>
    <i>
      <x v="3"/>
    </i>
    <i>
      <x v="4"/>
    </i>
    <i>
      <x v="5"/>
    </i>
    <i>
      <x v="6"/>
    </i>
    <i>
      <x v="7"/>
    </i>
    <i>
      <x v="8"/>
    </i>
    <i>
      <x v="9"/>
    </i>
    <i t="grand">
      <x/>
    </i>
  </rowItems>
  <colFields count="1">
    <field x="2"/>
  </colFields>
  <colItems count="4">
    <i>
      <x/>
    </i>
    <i>
      <x v="1"/>
    </i>
    <i>
      <x v="2"/>
    </i>
    <i t="grand">
      <x/>
    </i>
  </colItems>
  <pageFields count="3">
    <pageField fld="5" hier="-1"/>
    <pageField fld="0" hier="-1"/>
    <pageField fld="4" hier="-1"/>
  </pageFields>
  <dataFields count="1">
    <dataField name="Sum of MARKS" fld="3" baseField="0" baseItem="0"/>
  </dataFields>
  <chartFormats count="1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1" format="0" series="1">
      <pivotArea type="data" outline="0" fieldPosition="0">
        <references count="2">
          <reference field="4294967294" count="1" selected="0">
            <x v="0"/>
          </reference>
          <reference field="2" count="1" selected="0">
            <x v="0"/>
          </reference>
        </references>
      </pivotArea>
    </chartFormat>
    <chartFormat chart="21" format="1" series="1">
      <pivotArea type="data" outline="0" fieldPosition="0">
        <references count="2">
          <reference field="4294967294" count="1" selected="0">
            <x v="0"/>
          </reference>
          <reference field="2" count="1" selected="0">
            <x v="1"/>
          </reference>
        </references>
      </pivotArea>
    </chartFormat>
    <chartFormat chart="21" format="2" series="1">
      <pivotArea type="data" outline="0" fieldPosition="0">
        <references count="2">
          <reference field="4294967294" count="1" selected="0">
            <x v="0"/>
          </reference>
          <reference field="2" count="1" selected="0">
            <x v="2"/>
          </reference>
        </references>
      </pivotArea>
    </chartFormat>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 chart="26" format="0" series="1">
      <pivotArea type="data" outline="0" fieldPosition="0">
        <references count="2">
          <reference field="4294967294" count="1" selected="0">
            <x v="0"/>
          </reference>
          <reference field="2" count="1" selected="0">
            <x v="0"/>
          </reference>
        </references>
      </pivotArea>
    </chartFormat>
    <chartFormat chart="26" format="1" series="1">
      <pivotArea type="data" outline="0" fieldPosition="0">
        <references count="2">
          <reference field="4294967294" count="1" selected="0">
            <x v="0"/>
          </reference>
          <reference field="2" count="1" selected="0">
            <x v="1"/>
          </reference>
        </references>
      </pivotArea>
    </chartFormat>
    <chartFormat chart="26"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6548176-102C-46A2-83FE-762617C09296}" sourceName="DEPARTMENT">
  <pivotTables>
    <pivotTable tabId="3" name="PivotTable2"/>
  </pivotTables>
  <data>
    <tabular pivotCacheId="15826714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5E80366-115F-4DFB-8B58-0E39BCA4F3D2}" cache="Slicer_DEPARTMENT1" caption="DEPARTMEN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34E8-08A8-4175-B1B7-C3BDC06A67A2}">
  <dimension ref="A3:C7"/>
  <sheetViews>
    <sheetView workbookViewId="0">
      <selection activeCell="Q28" sqref="Q28"/>
    </sheetView>
  </sheetViews>
  <sheetFormatPr defaultRowHeight="15" x14ac:dyDescent="0.25"/>
  <cols>
    <col min="1" max="1" width="13.42578125" bestFit="1" customWidth="1"/>
    <col min="2" max="2" width="14.140625" bestFit="1" customWidth="1"/>
    <col min="3" max="3" width="14.7109375" bestFit="1" customWidth="1"/>
    <col min="4" max="4" width="5" bestFit="1" customWidth="1"/>
    <col min="5" max="5" width="5.140625" bestFit="1" customWidth="1"/>
    <col min="6" max="6" width="4.85546875" bestFit="1" customWidth="1"/>
    <col min="7" max="7" width="11.28515625" bestFit="1" customWidth="1"/>
  </cols>
  <sheetData>
    <row r="3" spans="1:3" x14ac:dyDescent="0.25">
      <c r="A3" s="11" t="s">
        <v>31</v>
      </c>
      <c r="B3" t="s">
        <v>33</v>
      </c>
      <c r="C3" t="s">
        <v>36</v>
      </c>
    </row>
    <row r="4" spans="1:3" x14ac:dyDescent="0.25">
      <c r="A4" s="12" t="s">
        <v>30</v>
      </c>
      <c r="B4">
        <v>75</v>
      </c>
      <c r="C4">
        <v>1</v>
      </c>
    </row>
    <row r="5" spans="1:3" x14ac:dyDescent="0.25">
      <c r="A5" s="12" t="s">
        <v>29</v>
      </c>
      <c r="B5">
        <v>175</v>
      </c>
      <c r="C5">
        <v>2</v>
      </c>
    </row>
    <row r="6" spans="1:3" x14ac:dyDescent="0.25">
      <c r="A6" s="12" t="s">
        <v>28</v>
      </c>
      <c r="B6">
        <v>150</v>
      </c>
      <c r="C6">
        <v>2</v>
      </c>
    </row>
    <row r="7" spans="1:3" x14ac:dyDescent="0.25">
      <c r="A7" s="12" t="s">
        <v>32</v>
      </c>
      <c r="B7">
        <v>400</v>
      </c>
      <c r="C7">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0331-7753-4C65-8673-5E62F267D56B}">
  <dimension ref="A1:Y27"/>
  <sheetViews>
    <sheetView workbookViewId="0">
      <selection activeCell="D13" sqref="D13"/>
    </sheetView>
  </sheetViews>
  <sheetFormatPr defaultRowHeight="15" x14ac:dyDescent="0.25"/>
  <cols>
    <col min="2" max="2" width="14.85546875" customWidth="1"/>
  </cols>
  <sheetData>
    <row r="1" spans="1:25" x14ac:dyDescent="0.25">
      <c r="A1" s="1" t="s">
        <v>1</v>
      </c>
      <c r="B1" s="1" t="s">
        <v>4</v>
      </c>
      <c r="C1" s="3"/>
      <c r="D1" s="3"/>
      <c r="E1" s="3"/>
    </row>
    <row r="2" spans="1:25" ht="60" x14ac:dyDescent="0.25">
      <c r="A2" s="2" t="s">
        <v>0</v>
      </c>
      <c r="B2" s="2">
        <v>78</v>
      </c>
      <c r="C2" s="2" t="str">
        <f>IF(B2&gt;=40,"PASS","FAIL")</f>
        <v>PASS</v>
      </c>
      <c r="D2" s="2">
        <f>COUNTIF(C2:C9,"PASS")</f>
        <v>7</v>
      </c>
      <c r="E2" s="4" t="s">
        <v>10</v>
      </c>
      <c r="G2" s="16" t="s">
        <v>41</v>
      </c>
      <c r="H2" s="16"/>
      <c r="J2" s="8" t="s">
        <v>14</v>
      </c>
      <c r="K2" s="8" t="s">
        <v>1</v>
      </c>
      <c r="L2" s="8" t="s">
        <v>15</v>
      </c>
      <c r="M2" s="9" t="s">
        <v>18</v>
      </c>
      <c r="O2" s="8" t="s">
        <v>19</v>
      </c>
      <c r="P2" s="8" t="s">
        <v>18</v>
      </c>
      <c r="Q2" s="9" t="s">
        <v>20</v>
      </c>
      <c r="R2" s="19" t="s">
        <v>40</v>
      </c>
      <c r="S2" s="19"/>
      <c r="T2" s="19"/>
      <c r="U2" s="19"/>
      <c r="V2" s="19"/>
      <c r="W2" s="19"/>
      <c r="X2" s="19"/>
      <c r="Y2" s="19"/>
    </row>
    <row r="3" spans="1:25" ht="60" x14ac:dyDescent="0.25">
      <c r="A3" s="2" t="s">
        <v>2</v>
      </c>
      <c r="B3" s="2">
        <v>65</v>
      </c>
      <c r="C3" s="2" t="str">
        <f>IF(B3&gt;=40,"PASS","FAIL")</f>
        <v>PASS</v>
      </c>
      <c r="D3" s="2">
        <f>COUNTIF(C3:C9,"FAIL")</f>
        <v>1</v>
      </c>
      <c r="E3" s="4" t="s">
        <v>11</v>
      </c>
      <c r="I3" s="6"/>
      <c r="J3" s="7">
        <v>101</v>
      </c>
      <c r="K3" s="7" t="s">
        <v>16</v>
      </c>
      <c r="L3" s="7">
        <v>25000</v>
      </c>
      <c r="M3" s="3"/>
      <c r="O3" s="10" t="s">
        <v>14</v>
      </c>
      <c r="P3" s="10" t="s">
        <v>15</v>
      </c>
      <c r="Q3" s="3"/>
      <c r="R3" s="19" t="s">
        <v>21</v>
      </c>
      <c r="S3" s="19"/>
      <c r="T3" s="19"/>
      <c r="U3" s="19"/>
      <c r="V3" s="19"/>
      <c r="W3" s="19"/>
      <c r="X3" s="19"/>
      <c r="Y3" s="19"/>
    </row>
    <row r="4" spans="1:25" ht="60" x14ac:dyDescent="0.25">
      <c r="A4" s="2" t="s">
        <v>3</v>
      </c>
      <c r="B4" s="2">
        <v>92</v>
      </c>
      <c r="C4" s="2" t="str">
        <f>IF(B4&gt;=40,"PASS","FAIL")</f>
        <v>PASS</v>
      </c>
      <c r="D4" s="2">
        <f>SUMIF(C2:C4,"PASS",B2:B4)</f>
        <v>235</v>
      </c>
      <c r="E4" s="4" t="s">
        <v>12</v>
      </c>
      <c r="I4" s="6"/>
      <c r="J4" s="7">
        <v>102</v>
      </c>
      <c r="K4" s="7" t="s">
        <v>0</v>
      </c>
      <c r="L4" s="7">
        <v>30000</v>
      </c>
      <c r="M4" s="2"/>
      <c r="O4" s="10">
        <v>102</v>
      </c>
      <c r="P4" s="10">
        <f>VLOOKUP(O4,J3:L5,3,FALSE)</f>
        <v>30000</v>
      </c>
      <c r="Q4" s="10">
        <f>_xlfn.XLOOKUP(O4,J3:J5,L3:L5)</f>
        <v>30000</v>
      </c>
      <c r="R4" s="20" t="s">
        <v>22</v>
      </c>
      <c r="S4" s="20"/>
      <c r="T4" s="20"/>
      <c r="U4" s="20"/>
      <c r="V4" s="20"/>
      <c r="W4" s="20"/>
      <c r="X4" s="20"/>
      <c r="Y4" s="20"/>
    </row>
    <row r="5" spans="1:25" ht="60" x14ac:dyDescent="0.25">
      <c r="A5" s="2" t="s">
        <v>5</v>
      </c>
      <c r="B5" s="2">
        <f>SUM(B2:B4)</f>
        <v>235</v>
      </c>
      <c r="C5" s="2" t="str">
        <f>IF(B5&gt;=40,"PASS","FAIL")</f>
        <v>PASS</v>
      </c>
      <c r="D5" s="2">
        <f>SUMIF(C2:C9,"FAIL",B2:B9)</f>
        <v>3</v>
      </c>
      <c r="E5" s="4" t="s">
        <v>13</v>
      </c>
      <c r="I5" s="6"/>
      <c r="J5" s="7">
        <v>103</v>
      </c>
      <c r="K5" s="7" t="s">
        <v>17</v>
      </c>
      <c r="L5" s="7">
        <v>28000</v>
      </c>
      <c r="M5" s="3"/>
      <c r="O5" s="10">
        <v>101</v>
      </c>
      <c r="P5" s="10">
        <f>VLOOKUP(O5,J3:L5,3,FALSE)</f>
        <v>25000</v>
      </c>
      <c r="Q5" s="10">
        <f>_xlfn.XLOOKUP(O5,J3:J5,L3:L5)</f>
        <v>25000</v>
      </c>
      <c r="R5" s="20" t="s">
        <v>23</v>
      </c>
      <c r="S5" s="20"/>
      <c r="T5" s="20"/>
      <c r="U5" s="20"/>
      <c r="V5" s="20"/>
      <c r="W5" s="20"/>
      <c r="X5" s="20"/>
      <c r="Y5" s="20"/>
    </row>
    <row r="6" spans="1:25" x14ac:dyDescent="0.25">
      <c r="A6" s="2" t="s">
        <v>6</v>
      </c>
      <c r="B6" s="3">
        <f>AVERAGE(B2:B4)</f>
        <v>78.333333333333329</v>
      </c>
      <c r="C6" s="2" t="str">
        <f>IF(B6&gt;=40,"PASS","FAIL")</f>
        <v>PASS</v>
      </c>
      <c r="D6" s="3"/>
      <c r="E6" s="3"/>
      <c r="I6" s="6"/>
      <c r="J6" s="6"/>
      <c r="K6" s="6"/>
      <c r="L6" s="6"/>
      <c r="O6" s="10">
        <v>103</v>
      </c>
      <c r="P6" s="10">
        <f>VLOOKUP(O6,J5:L7,3,FALSE)</f>
        <v>28000</v>
      </c>
      <c r="Q6" s="10">
        <f>_xlfn.XLOOKUP(O6,J3:J5,L3:L5)</f>
        <v>28000</v>
      </c>
      <c r="R6" s="21" t="s">
        <v>24</v>
      </c>
      <c r="S6" s="21"/>
      <c r="T6" s="21"/>
      <c r="U6" s="21"/>
      <c r="V6" s="21"/>
      <c r="W6" s="21"/>
      <c r="X6" s="21"/>
      <c r="Y6" s="21"/>
    </row>
    <row r="7" spans="1:25" x14ac:dyDescent="0.25">
      <c r="A7" s="2" t="s">
        <v>7</v>
      </c>
      <c r="B7" s="2">
        <f>MIN(B2:B4)</f>
        <v>65</v>
      </c>
      <c r="C7" s="2" t="str">
        <f t="shared" ref="C7:C9" si="0">IF(B7&gt;=40,"PASS","FAIL")</f>
        <v>PASS</v>
      </c>
      <c r="D7" s="3"/>
      <c r="E7" s="3"/>
    </row>
    <row r="8" spans="1:25" x14ac:dyDescent="0.25">
      <c r="A8" s="2" t="s">
        <v>8</v>
      </c>
      <c r="B8" s="2">
        <f>MAX(B2:B4)</f>
        <v>92</v>
      </c>
      <c r="C8" s="2" t="str">
        <f t="shared" si="0"/>
        <v>PASS</v>
      </c>
      <c r="D8" s="3"/>
      <c r="E8" s="3"/>
    </row>
    <row r="9" spans="1:25" x14ac:dyDescent="0.25">
      <c r="A9" s="2" t="s">
        <v>9</v>
      </c>
      <c r="B9" s="2">
        <f>COUNT(B2:B4)</f>
        <v>3</v>
      </c>
      <c r="C9" s="2" t="str">
        <f t="shared" si="0"/>
        <v>FAIL</v>
      </c>
      <c r="D9" s="3"/>
      <c r="E9" s="3"/>
    </row>
    <row r="11" spans="1:25" x14ac:dyDescent="0.25">
      <c r="F11" s="17" t="s">
        <v>25</v>
      </c>
      <c r="G11" s="17"/>
      <c r="H11" s="17"/>
      <c r="I11" s="17"/>
      <c r="J11" s="17"/>
      <c r="K11" s="17"/>
    </row>
    <row r="12" spans="1:25" x14ac:dyDescent="0.25">
      <c r="F12" s="17"/>
      <c r="G12" s="17"/>
      <c r="H12" s="17"/>
      <c r="I12" s="17"/>
      <c r="J12" s="17"/>
      <c r="K12" s="17"/>
    </row>
    <row r="13" spans="1:25" x14ac:dyDescent="0.25">
      <c r="F13" s="17"/>
      <c r="G13" s="17"/>
      <c r="H13" s="17"/>
      <c r="I13" s="17"/>
      <c r="J13" s="17"/>
      <c r="K13" s="17"/>
    </row>
    <row r="14" spans="1:25" ht="15" customHeight="1" x14ac:dyDescent="0.25">
      <c r="F14" s="18" t="s">
        <v>34</v>
      </c>
      <c r="G14" s="18"/>
      <c r="H14" s="18"/>
      <c r="I14" s="18"/>
      <c r="J14" s="18"/>
      <c r="K14" s="18"/>
    </row>
    <row r="15" spans="1:25" x14ac:dyDescent="0.25">
      <c r="A15" s="8" t="s">
        <v>1</v>
      </c>
      <c r="B15" s="8" t="s">
        <v>26</v>
      </c>
      <c r="C15" s="8" t="s">
        <v>4</v>
      </c>
      <c r="F15" s="18"/>
      <c r="G15" s="18"/>
      <c r="H15" s="18"/>
      <c r="I15" s="18"/>
      <c r="J15" s="18"/>
      <c r="K15" s="18"/>
    </row>
    <row r="16" spans="1:25" x14ac:dyDescent="0.25">
      <c r="A16" s="10" t="s">
        <v>16</v>
      </c>
      <c r="B16" s="10" t="s">
        <v>28</v>
      </c>
      <c r="C16" s="10">
        <v>80</v>
      </c>
      <c r="F16" s="18"/>
      <c r="G16" s="18"/>
      <c r="H16" s="18"/>
      <c r="I16" s="18"/>
      <c r="J16" s="18"/>
      <c r="K16" s="18"/>
    </row>
    <row r="17" spans="1:15" ht="20.25" customHeight="1" x14ac:dyDescent="0.25">
      <c r="A17" s="10" t="s">
        <v>0</v>
      </c>
      <c r="B17" s="10" t="s">
        <v>29</v>
      </c>
      <c r="C17" s="10">
        <v>90</v>
      </c>
      <c r="F17" s="18" t="s">
        <v>35</v>
      </c>
      <c r="G17" s="18"/>
      <c r="H17" s="18"/>
      <c r="I17" s="18"/>
      <c r="J17" s="18"/>
      <c r="K17" s="18"/>
    </row>
    <row r="18" spans="1:15" x14ac:dyDescent="0.25">
      <c r="A18" s="10" t="s">
        <v>17</v>
      </c>
      <c r="B18" s="10" t="s">
        <v>28</v>
      </c>
      <c r="C18" s="10">
        <v>70</v>
      </c>
      <c r="F18" s="18"/>
      <c r="G18" s="18"/>
      <c r="H18" s="18"/>
      <c r="I18" s="18"/>
      <c r="J18" s="18"/>
      <c r="K18" s="18"/>
    </row>
    <row r="19" spans="1:15" x14ac:dyDescent="0.25">
      <c r="A19" s="10" t="s">
        <v>27</v>
      </c>
      <c r="B19" s="10" t="s">
        <v>29</v>
      </c>
      <c r="C19" s="10">
        <v>85</v>
      </c>
      <c r="F19" s="18" t="s">
        <v>37</v>
      </c>
      <c r="G19" s="18"/>
      <c r="H19" s="18"/>
      <c r="I19" s="18"/>
      <c r="J19" s="18"/>
      <c r="K19" s="18"/>
    </row>
    <row r="20" spans="1:15" x14ac:dyDescent="0.25">
      <c r="A20" s="10" t="s">
        <v>3</v>
      </c>
      <c r="B20" s="10" t="s">
        <v>30</v>
      </c>
      <c r="C20" s="10">
        <v>75</v>
      </c>
      <c r="F20" s="18"/>
      <c r="G20" s="18"/>
      <c r="H20" s="18"/>
      <c r="I20" s="18"/>
      <c r="J20" s="18"/>
      <c r="K20" s="18"/>
    </row>
    <row r="21" spans="1:15" x14ac:dyDescent="0.25">
      <c r="A21" s="13" t="s">
        <v>38</v>
      </c>
      <c r="B21" s="13" t="s">
        <v>28</v>
      </c>
      <c r="C21" s="13">
        <v>60</v>
      </c>
      <c r="F21" s="18" t="s">
        <v>39</v>
      </c>
      <c r="G21" s="18"/>
      <c r="H21" s="18"/>
      <c r="I21" s="18"/>
      <c r="J21" s="18"/>
      <c r="K21" s="18"/>
    </row>
    <row r="22" spans="1:15" x14ac:dyDescent="0.25">
      <c r="F22" s="18"/>
      <c r="G22" s="18"/>
      <c r="H22" s="18"/>
      <c r="I22" s="18"/>
      <c r="J22" s="18"/>
      <c r="K22" s="18"/>
      <c r="O22" s="5"/>
    </row>
    <row r="23" spans="1:15" x14ac:dyDescent="0.25">
      <c r="F23" s="18" t="s">
        <v>42</v>
      </c>
      <c r="G23" s="18"/>
      <c r="H23" s="18"/>
      <c r="I23" s="18"/>
      <c r="J23" s="18"/>
      <c r="K23" s="18"/>
    </row>
    <row r="24" spans="1:15" x14ac:dyDescent="0.25">
      <c r="F24" s="18"/>
      <c r="G24" s="18"/>
      <c r="H24" s="18"/>
      <c r="I24" s="18"/>
      <c r="J24" s="18"/>
      <c r="K24" s="18"/>
    </row>
    <row r="25" spans="1:15" ht="15" customHeight="1" x14ac:dyDescent="0.25">
      <c r="F25" s="16" t="s">
        <v>43</v>
      </c>
      <c r="G25" s="16"/>
      <c r="H25" s="16"/>
      <c r="I25" s="16"/>
      <c r="J25" s="16"/>
      <c r="K25" s="16"/>
    </row>
    <row r="26" spans="1:15" x14ac:dyDescent="0.25">
      <c r="F26" s="16"/>
      <c r="G26" s="16"/>
      <c r="H26" s="16"/>
      <c r="I26" s="16"/>
      <c r="J26" s="16"/>
      <c r="K26" s="16"/>
    </row>
    <row r="27" spans="1:15" x14ac:dyDescent="0.25">
      <c r="F27" s="16"/>
      <c r="G27" s="16"/>
      <c r="H27" s="16"/>
      <c r="I27" s="16"/>
      <c r="J27" s="16"/>
      <c r="K27" s="16"/>
    </row>
  </sheetData>
  <mergeCells count="13">
    <mergeCell ref="R3:Y3"/>
    <mergeCell ref="R4:Y4"/>
    <mergeCell ref="R2:Y2"/>
    <mergeCell ref="R5:Y5"/>
    <mergeCell ref="R6:Y6"/>
    <mergeCell ref="G2:H2"/>
    <mergeCell ref="F25:K27"/>
    <mergeCell ref="F11:K13"/>
    <mergeCell ref="F14:K16"/>
    <mergeCell ref="F17:K18"/>
    <mergeCell ref="F19:K20"/>
    <mergeCell ref="F21:K22"/>
    <mergeCell ref="F23:K24"/>
  </mergeCells>
  <conditionalFormatting sqref="C2:C9">
    <cfRule type="containsText" dxfId="6" priority="1" operator="containsText" text="PASS">
      <formula>NOT(ISERROR(SEARCH("PASS",C2)))</formula>
    </cfRule>
    <cfRule type="containsText" dxfId="5" priority="2" operator="containsText" text="Fail">
      <formula>NOT(ISERROR(SEARCH("Fail",C2)))</formula>
    </cfRule>
    <cfRule type="containsText" dxfId="4" priority="3" operator="containsText" text="Fail">
      <formula>NOT(ISERROR(SEARCH("Fail",C2)))</formula>
    </cfRule>
  </conditionalFormatting>
  <pageMargins left="0.7" right="0.7" top="0.75" bottom="0.75" header="0.3" footer="0.3"/>
  <ignoredErrors>
    <ignoredError sqref="P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5FF1-EA19-4638-BDC6-853A492BCD84}">
  <dimension ref="A1:E17"/>
  <sheetViews>
    <sheetView zoomScale="70" zoomScaleNormal="70" workbookViewId="0">
      <selection activeCell="M43" sqref="M43"/>
    </sheetView>
  </sheetViews>
  <sheetFormatPr defaultRowHeight="15" x14ac:dyDescent="0.25"/>
  <cols>
    <col min="1" max="1" width="14.140625" bestFit="1" customWidth="1"/>
    <col min="2" max="2" width="16.85546875" bestFit="1" customWidth="1"/>
    <col min="3" max="4" width="4" bestFit="1" customWidth="1"/>
    <col min="5" max="5" width="11.28515625" bestFit="1" customWidth="1"/>
    <col min="6" max="6" width="14.140625" bestFit="1" customWidth="1"/>
    <col min="7" max="7" width="19" bestFit="1" customWidth="1"/>
    <col min="8" max="8" width="19.140625" bestFit="1" customWidth="1"/>
    <col min="9" max="9" width="24" bestFit="1" customWidth="1"/>
    <col min="10" max="13" width="5.140625" bestFit="1" customWidth="1"/>
    <col min="14" max="14" width="7.42578125" bestFit="1" customWidth="1"/>
    <col min="15" max="15" width="11.28515625" bestFit="1" customWidth="1"/>
    <col min="16" max="16" width="15.85546875" bestFit="1" customWidth="1"/>
    <col min="17" max="17" width="14.140625" bestFit="1" customWidth="1"/>
    <col min="18" max="18" width="19" bestFit="1" customWidth="1"/>
    <col min="19" max="19" width="15.85546875" bestFit="1" customWidth="1"/>
    <col min="20" max="20" width="18.5703125" customWidth="1"/>
    <col min="21" max="21" width="19" bestFit="1" customWidth="1"/>
    <col min="22" max="22" width="17.85546875" customWidth="1"/>
    <col min="23" max="23" width="17.42578125" bestFit="1" customWidth="1"/>
    <col min="24" max="24" width="22.28515625" bestFit="1" customWidth="1"/>
    <col min="25" max="25" width="19.140625" bestFit="1" customWidth="1"/>
    <col min="26" max="26" width="14.140625" bestFit="1" customWidth="1"/>
    <col min="27" max="27" width="19" bestFit="1" customWidth="1"/>
    <col min="28" max="28" width="15.85546875" bestFit="1" customWidth="1"/>
    <col min="29" max="29" width="14.140625" bestFit="1" customWidth="1"/>
    <col min="30" max="30" width="19" bestFit="1" customWidth="1"/>
    <col min="31" max="31" width="15.85546875" bestFit="1" customWidth="1"/>
    <col min="32" max="32" width="14.140625" bestFit="1" customWidth="1"/>
    <col min="33" max="33" width="19" bestFit="1" customWidth="1"/>
    <col min="34" max="34" width="15.85546875" bestFit="1" customWidth="1"/>
    <col min="35" max="35" width="14.140625" bestFit="1" customWidth="1"/>
    <col min="36" max="36" width="19" bestFit="1" customWidth="1"/>
    <col min="37" max="37" width="15.85546875" bestFit="1" customWidth="1"/>
    <col min="38" max="38" width="16.140625" bestFit="1" customWidth="1"/>
    <col min="39" max="39" width="21" bestFit="1" customWidth="1"/>
    <col min="40" max="40" width="18" bestFit="1" customWidth="1"/>
    <col min="41" max="41" width="19.140625" bestFit="1" customWidth="1"/>
    <col min="42" max="42" width="24" bestFit="1" customWidth="1"/>
    <col min="43" max="43" width="20.85546875" bestFit="1" customWidth="1"/>
  </cols>
  <sheetData>
    <row r="1" spans="1:5" x14ac:dyDescent="0.25">
      <c r="A1" s="11" t="s">
        <v>60</v>
      </c>
      <c r="B1" t="s">
        <v>68</v>
      </c>
    </row>
    <row r="2" spans="1:5" x14ac:dyDescent="0.25">
      <c r="A2" s="11" t="s">
        <v>44</v>
      </c>
      <c r="B2" t="s">
        <v>68</v>
      </c>
    </row>
    <row r="3" spans="1:5" x14ac:dyDescent="0.25">
      <c r="A3" s="11" t="s">
        <v>54</v>
      </c>
      <c r="B3" t="s">
        <v>68</v>
      </c>
    </row>
    <row r="5" spans="1:5" x14ac:dyDescent="0.25">
      <c r="A5" s="11" t="s">
        <v>33</v>
      </c>
      <c r="B5" s="11" t="s">
        <v>67</v>
      </c>
    </row>
    <row r="6" spans="1:5" x14ac:dyDescent="0.25">
      <c r="A6" s="11" t="s">
        <v>31</v>
      </c>
      <c r="B6" t="s">
        <v>30</v>
      </c>
      <c r="C6" t="s">
        <v>29</v>
      </c>
      <c r="D6" t="s">
        <v>28</v>
      </c>
      <c r="E6" t="s">
        <v>32</v>
      </c>
    </row>
    <row r="7" spans="1:5" x14ac:dyDescent="0.25">
      <c r="A7" s="12" t="s">
        <v>27</v>
      </c>
      <c r="B7" s="23">
        <v>35</v>
      </c>
      <c r="C7" s="23"/>
      <c r="D7" s="23"/>
      <c r="E7" s="23">
        <v>35</v>
      </c>
    </row>
    <row r="8" spans="1:5" x14ac:dyDescent="0.25">
      <c r="A8" s="12" t="s">
        <v>58</v>
      </c>
      <c r="B8" s="23"/>
      <c r="C8" s="23">
        <v>35</v>
      </c>
      <c r="D8" s="23"/>
      <c r="E8" s="23">
        <v>35</v>
      </c>
    </row>
    <row r="9" spans="1:5" x14ac:dyDescent="0.25">
      <c r="A9" s="12" t="s">
        <v>3</v>
      </c>
      <c r="B9" s="23"/>
      <c r="C9" s="23">
        <v>28</v>
      </c>
      <c r="D9" s="23"/>
      <c r="E9" s="23">
        <v>28</v>
      </c>
    </row>
    <row r="10" spans="1:5" x14ac:dyDescent="0.25">
      <c r="A10" s="12" t="s">
        <v>52</v>
      </c>
      <c r="B10" s="23">
        <v>85</v>
      </c>
      <c r="C10" s="23"/>
      <c r="D10" s="23"/>
      <c r="E10" s="23">
        <v>85</v>
      </c>
    </row>
    <row r="11" spans="1:5" x14ac:dyDescent="0.25">
      <c r="A11" s="12" t="s">
        <v>53</v>
      </c>
      <c r="B11" s="23">
        <v>45</v>
      </c>
      <c r="C11" s="23"/>
      <c r="D11" s="23"/>
      <c r="E11" s="23">
        <v>45</v>
      </c>
    </row>
    <row r="12" spans="1:5" x14ac:dyDescent="0.25">
      <c r="A12" s="12" t="s">
        <v>16</v>
      </c>
      <c r="B12" s="23"/>
      <c r="C12" s="23"/>
      <c r="D12" s="23">
        <v>78</v>
      </c>
      <c r="E12" s="23">
        <v>78</v>
      </c>
    </row>
    <row r="13" spans="1:5" x14ac:dyDescent="0.25">
      <c r="A13" s="12" t="s">
        <v>17</v>
      </c>
      <c r="B13" s="23"/>
      <c r="C13" s="23"/>
      <c r="D13" s="23">
        <v>64</v>
      </c>
      <c r="E13" s="23">
        <v>64</v>
      </c>
    </row>
    <row r="14" spans="1:5" x14ac:dyDescent="0.25">
      <c r="A14" s="12" t="s">
        <v>0</v>
      </c>
      <c r="B14" s="23"/>
      <c r="C14" s="23">
        <v>92</v>
      </c>
      <c r="D14" s="23"/>
      <c r="E14" s="23">
        <v>92</v>
      </c>
    </row>
    <row r="15" spans="1:5" x14ac:dyDescent="0.25">
      <c r="A15" s="12" t="s">
        <v>38</v>
      </c>
      <c r="B15" s="23"/>
      <c r="C15" s="23"/>
      <c r="D15" s="23">
        <v>10</v>
      </c>
      <c r="E15" s="23">
        <v>10</v>
      </c>
    </row>
    <row r="16" spans="1:5" x14ac:dyDescent="0.25">
      <c r="A16" s="12" t="s">
        <v>59</v>
      </c>
      <c r="B16" s="23"/>
      <c r="C16" s="23"/>
      <c r="D16" s="23">
        <v>34</v>
      </c>
      <c r="E16" s="23">
        <v>34</v>
      </c>
    </row>
    <row r="17" spans="1:5" x14ac:dyDescent="0.25">
      <c r="A17" s="12" t="s">
        <v>32</v>
      </c>
      <c r="B17" s="23">
        <v>165</v>
      </c>
      <c r="C17" s="23">
        <v>155</v>
      </c>
      <c r="D17" s="23">
        <v>186</v>
      </c>
      <c r="E17" s="23">
        <v>506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EB0A-7772-4D2A-B6F0-EEABB9F2E6F2}">
  <dimension ref="A1:J90"/>
  <sheetViews>
    <sheetView tabSelected="1" topLeftCell="A67" zoomScale="85" zoomScaleNormal="85" workbookViewId="0">
      <selection activeCell="K97" sqref="K97"/>
    </sheetView>
  </sheetViews>
  <sheetFormatPr defaultRowHeight="15" x14ac:dyDescent="0.25"/>
  <cols>
    <col min="1" max="1" width="15.7109375" customWidth="1"/>
    <col min="2" max="2" width="14.28515625" customWidth="1"/>
    <col min="4" max="4" width="12.42578125" customWidth="1"/>
    <col min="6" max="6" width="12.5703125" customWidth="1"/>
    <col min="8" max="8" width="10.5703125" customWidth="1"/>
  </cols>
  <sheetData>
    <row r="1" spans="1:9" ht="24" x14ac:dyDescent="0.25">
      <c r="A1" s="36" t="s">
        <v>69</v>
      </c>
      <c r="B1" s="36"/>
      <c r="C1" s="36"/>
      <c r="D1" s="36"/>
      <c r="E1" s="36"/>
      <c r="F1" s="36"/>
      <c r="G1" s="36"/>
      <c r="H1" s="36"/>
      <c r="I1" s="24"/>
    </row>
    <row r="2" spans="1:9" ht="18.75" x14ac:dyDescent="0.25">
      <c r="A2" s="35" t="s">
        <v>70</v>
      </c>
      <c r="B2" s="33" t="s">
        <v>71</v>
      </c>
      <c r="C2" s="33"/>
      <c r="D2" s="33"/>
      <c r="E2" s="33"/>
      <c r="F2" s="33"/>
      <c r="G2" s="33"/>
      <c r="H2" s="33"/>
    </row>
    <row r="3" spans="1:9" ht="15" customHeight="1" x14ac:dyDescent="0.25">
      <c r="A3" s="37" t="s">
        <v>88</v>
      </c>
      <c r="H3" s="28"/>
    </row>
    <row r="4" spans="1:9" ht="15" customHeight="1" x14ac:dyDescent="0.25">
      <c r="A4" s="26" t="s">
        <v>72</v>
      </c>
      <c r="B4" s="26"/>
      <c r="H4" s="29"/>
    </row>
    <row r="5" spans="1:9" ht="15" customHeight="1" x14ac:dyDescent="0.25">
      <c r="A5" s="25" t="s">
        <v>1</v>
      </c>
      <c r="B5" s="25" t="s">
        <v>4</v>
      </c>
      <c r="C5" s="25" t="s">
        <v>80</v>
      </c>
      <c r="D5" s="25" t="s">
        <v>78</v>
      </c>
      <c r="E5" s="25" t="s">
        <v>79</v>
      </c>
      <c r="H5" s="29"/>
    </row>
    <row r="6" spans="1:9" ht="15" customHeight="1" x14ac:dyDescent="0.25">
      <c r="A6" t="s">
        <v>38</v>
      </c>
      <c r="B6">
        <v>35</v>
      </c>
      <c r="C6">
        <v>35</v>
      </c>
      <c r="D6" t="str">
        <f>IF(AND(C6&gt;=35,C6&gt;=75),"PASS","FAIL")</f>
        <v>FAIL</v>
      </c>
      <c r="E6" t="str">
        <f>IF(OR(C6&gt;=35,C6&gt;=75),"PASS","FAIL")</f>
        <v>PASS</v>
      </c>
      <c r="H6" s="29"/>
    </row>
    <row r="7" spans="1:9" ht="15" customHeight="1" x14ac:dyDescent="0.25">
      <c r="A7" t="s">
        <v>73</v>
      </c>
      <c r="B7">
        <v>75</v>
      </c>
      <c r="C7">
        <v>75</v>
      </c>
      <c r="D7" t="str">
        <f t="shared" ref="D7:D11" si="0">IF(AND(C7&gt;=35,C7&gt;=75),"PASS","FAIL")</f>
        <v>PASS</v>
      </c>
      <c r="E7" t="str">
        <f t="shared" ref="E7:E11" si="1">IF(OR(C7&gt;=35,C7&gt;=75),"PASS","FAIL")</f>
        <v>PASS</v>
      </c>
      <c r="H7" s="29"/>
    </row>
    <row r="8" spans="1:9" ht="15" customHeight="1" x14ac:dyDescent="0.25">
      <c r="A8" t="s">
        <v>74</v>
      </c>
      <c r="B8">
        <v>60</v>
      </c>
      <c r="C8">
        <v>60</v>
      </c>
      <c r="D8" t="str">
        <f t="shared" si="0"/>
        <v>FAIL</v>
      </c>
      <c r="E8" t="str">
        <f t="shared" si="1"/>
        <v>PASS</v>
      </c>
      <c r="H8" s="29"/>
    </row>
    <row r="9" spans="1:9" ht="15" customHeight="1" x14ac:dyDescent="0.25">
      <c r="A9" t="s">
        <v>75</v>
      </c>
      <c r="B9">
        <v>71</v>
      </c>
      <c r="C9">
        <v>71</v>
      </c>
      <c r="D9" t="str">
        <f t="shared" si="0"/>
        <v>FAIL</v>
      </c>
      <c r="E9" t="str">
        <f t="shared" si="1"/>
        <v>PASS</v>
      </c>
      <c r="H9" s="29"/>
    </row>
    <row r="10" spans="1:9" ht="15" customHeight="1" x14ac:dyDescent="0.25">
      <c r="A10" t="s">
        <v>76</v>
      </c>
      <c r="B10">
        <v>55</v>
      </c>
      <c r="C10">
        <v>55</v>
      </c>
      <c r="D10" t="str">
        <f t="shared" si="0"/>
        <v>FAIL</v>
      </c>
      <c r="E10" t="str">
        <f t="shared" si="1"/>
        <v>PASS</v>
      </c>
      <c r="H10" s="29"/>
    </row>
    <row r="11" spans="1:9" ht="15" customHeight="1" x14ac:dyDescent="0.25">
      <c r="A11" t="s">
        <v>77</v>
      </c>
      <c r="B11">
        <v>34</v>
      </c>
      <c r="C11">
        <v>34</v>
      </c>
      <c r="D11" t="str">
        <f t="shared" si="0"/>
        <v>FAIL</v>
      </c>
      <c r="E11" t="str">
        <f t="shared" si="1"/>
        <v>FAIL</v>
      </c>
      <c r="H11" s="29"/>
    </row>
    <row r="12" spans="1:9" ht="15" customHeight="1" x14ac:dyDescent="0.25">
      <c r="H12" s="29"/>
    </row>
    <row r="13" spans="1:9" x14ac:dyDescent="0.25">
      <c r="A13" s="24" t="s">
        <v>81</v>
      </c>
      <c r="B13" s="24"/>
      <c r="C13" s="24"/>
      <c r="D13" s="24"/>
      <c r="E13" s="24"/>
      <c r="F13" s="24"/>
      <c r="G13" s="24"/>
      <c r="H13" s="29"/>
    </row>
    <row r="14" spans="1:9" x14ac:dyDescent="0.25">
      <c r="A14" s="24" t="s">
        <v>82</v>
      </c>
      <c r="B14" s="24"/>
      <c r="C14" s="24"/>
      <c r="D14" s="24"/>
      <c r="E14" s="24"/>
      <c r="F14" s="24"/>
      <c r="G14" s="24"/>
      <c r="H14" s="29"/>
    </row>
    <row r="15" spans="1:9" x14ac:dyDescent="0.25">
      <c r="A15" s="24" t="s">
        <v>83</v>
      </c>
      <c r="B15" s="24"/>
      <c r="C15" s="24"/>
      <c r="D15" s="24"/>
      <c r="E15" s="24"/>
      <c r="F15" s="24"/>
      <c r="G15" s="24"/>
      <c r="H15" s="29"/>
    </row>
    <row r="16" spans="1:9" ht="15" customHeight="1" x14ac:dyDescent="0.25">
      <c r="A16" s="24" t="s">
        <v>84</v>
      </c>
      <c r="B16" s="24"/>
      <c r="C16" s="24"/>
      <c r="D16" s="24"/>
      <c r="E16" s="24"/>
      <c r="F16" s="24"/>
      <c r="G16" s="24"/>
      <c r="H16" s="29"/>
    </row>
    <row r="17" spans="1:8" ht="15" customHeight="1" x14ac:dyDescent="0.25">
      <c r="A17" s="24"/>
      <c r="B17" s="24"/>
      <c r="C17" s="24"/>
      <c r="D17" s="24"/>
      <c r="E17" s="24"/>
      <c r="F17" s="24"/>
      <c r="G17" s="24"/>
      <c r="H17" s="30"/>
    </row>
    <row r="18" spans="1:8" ht="15" customHeight="1" x14ac:dyDescent="0.25">
      <c r="A18" s="34" t="s">
        <v>85</v>
      </c>
      <c r="B18" s="33" t="s">
        <v>86</v>
      </c>
      <c r="C18" s="33"/>
      <c r="D18" s="33"/>
      <c r="E18" s="33"/>
      <c r="F18" s="33"/>
      <c r="G18" s="33"/>
      <c r="H18" s="33"/>
    </row>
    <row r="19" spans="1:8" ht="15" customHeight="1" x14ac:dyDescent="0.25">
      <c r="A19" s="39"/>
      <c r="B19" s="31"/>
      <c r="C19" s="31"/>
      <c r="D19" s="31"/>
      <c r="E19" s="31"/>
      <c r="F19" s="27"/>
      <c r="G19" s="27"/>
      <c r="H19" s="28"/>
    </row>
    <row r="20" spans="1:8" ht="15" customHeight="1" x14ac:dyDescent="0.25">
      <c r="A20" s="40" t="s">
        <v>87</v>
      </c>
      <c r="B20" s="38"/>
      <c r="C20" s="38"/>
      <c r="D20" s="38"/>
      <c r="E20" s="38"/>
      <c r="F20" s="38"/>
      <c r="G20" s="38"/>
      <c r="H20" s="55"/>
    </row>
    <row r="21" spans="1:8" ht="15" customHeight="1" x14ac:dyDescent="0.25">
      <c r="A21" s="41" t="s">
        <v>88</v>
      </c>
      <c r="B21" s="42" t="s">
        <v>89</v>
      </c>
      <c r="C21" s="42"/>
      <c r="D21" s="42"/>
      <c r="E21" s="42"/>
      <c r="F21" s="42"/>
      <c r="G21" s="42"/>
      <c r="H21" s="29"/>
    </row>
    <row r="22" spans="1:8" ht="15" customHeight="1" x14ac:dyDescent="0.25">
      <c r="A22" s="43"/>
      <c r="B22" s="42" t="str">
        <f>TRIM(B21)</f>
        <v>"SNEHA LATHA"</v>
      </c>
      <c r="C22" s="42"/>
      <c r="D22" s="42"/>
      <c r="E22" s="42"/>
      <c r="F22" s="42"/>
      <c r="G22" s="42"/>
      <c r="H22" s="29"/>
    </row>
    <row r="23" spans="1:8" ht="15" customHeight="1" x14ac:dyDescent="0.25">
      <c r="A23" s="43"/>
      <c r="B23" s="42" t="s">
        <v>90</v>
      </c>
      <c r="C23" s="42"/>
      <c r="D23" s="42"/>
      <c r="E23" s="42"/>
      <c r="F23" s="42"/>
      <c r="G23" s="42"/>
      <c r="H23" s="29"/>
    </row>
    <row r="24" spans="1:8" ht="15" customHeight="1" x14ac:dyDescent="0.25">
      <c r="A24" s="43"/>
      <c r="B24" s="42" t="s">
        <v>91</v>
      </c>
      <c r="C24" s="42"/>
      <c r="D24" s="42"/>
      <c r="E24" s="42"/>
      <c r="F24" s="42"/>
      <c r="G24" s="42"/>
      <c r="H24" s="29"/>
    </row>
    <row r="25" spans="1:8" ht="15" customHeight="1" x14ac:dyDescent="0.25">
      <c r="A25" s="44"/>
      <c r="B25" s="32"/>
      <c r="C25" s="32"/>
      <c r="D25" s="32"/>
      <c r="E25" s="32"/>
      <c r="F25" s="32"/>
      <c r="G25" s="42"/>
      <c r="H25" s="29"/>
    </row>
    <row r="26" spans="1:8" ht="15" customHeight="1" x14ac:dyDescent="0.25">
      <c r="A26" s="40" t="s">
        <v>92</v>
      </c>
      <c r="B26" s="38"/>
      <c r="C26" s="38"/>
      <c r="D26" s="38"/>
      <c r="E26" s="38"/>
      <c r="F26" s="38"/>
      <c r="G26" s="38"/>
      <c r="H26" s="55"/>
    </row>
    <row r="27" spans="1:8" ht="15" customHeight="1" x14ac:dyDescent="0.25">
      <c r="A27" s="41" t="s">
        <v>88</v>
      </c>
      <c r="B27" s="45">
        <f>LEN(B22)</f>
        <v>13</v>
      </c>
      <c r="C27" s="42"/>
      <c r="D27" s="42"/>
      <c r="E27" s="42"/>
      <c r="F27" s="42"/>
      <c r="G27" s="42"/>
      <c r="H27" s="29"/>
    </row>
    <row r="28" spans="1:8" ht="15" customHeight="1" x14ac:dyDescent="0.25">
      <c r="A28" s="43"/>
      <c r="B28" s="42" t="s">
        <v>93</v>
      </c>
      <c r="C28" s="42"/>
      <c r="D28" s="42"/>
      <c r="E28" s="42"/>
      <c r="F28" s="42"/>
      <c r="G28" s="42"/>
      <c r="H28" s="29"/>
    </row>
    <row r="29" spans="1:8" ht="15" customHeight="1" x14ac:dyDescent="0.25">
      <c r="A29" s="43"/>
      <c r="B29" s="42" t="s">
        <v>94</v>
      </c>
      <c r="C29" s="42"/>
      <c r="D29" s="42"/>
      <c r="E29" s="42"/>
      <c r="F29" s="42"/>
      <c r="G29" s="42"/>
      <c r="H29" s="29"/>
    </row>
    <row r="30" spans="1:8" ht="15" customHeight="1" x14ac:dyDescent="0.25">
      <c r="A30" s="43"/>
      <c r="B30" s="42"/>
      <c r="C30" s="42"/>
      <c r="D30" s="42"/>
      <c r="E30" s="42"/>
      <c r="F30" s="42"/>
      <c r="G30" s="42"/>
      <c r="H30" s="29"/>
    </row>
    <row r="31" spans="1:8" ht="15.75" x14ac:dyDescent="0.25">
      <c r="A31" s="40" t="s">
        <v>95</v>
      </c>
      <c r="B31" s="38"/>
      <c r="C31" s="38"/>
      <c r="D31" s="38"/>
      <c r="E31" s="38"/>
      <c r="F31" s="38"/>
      <c r="G31" s="38"/>
      <c r="H31" s="55"/>
    </row>
    <row r="32" spans="1:8" x14ac:dyDescent="0.25">
      <c r="A32" s="41" t="s">
        <v>88</v>
      </c>
      <c r="B32" s="42" t="str">
        <f>LEFT(B22,6)</f>
        <v>"SNEHA</v>
      </c>
      <c r="C32" s="42"/>
      <c r="D32" s="42"/>
      <c r="E32" s="42"/>
      <c r="F32" s="42"/>
      <c r="G32" s="42"/>
      <c r="H32" s="29"/>
    </row>
    <row r="33" spans="1:8" x14ac:dyDescent="0.25">
      <c r="A33" s="43"/>
      <c r="B33" s="46" t="s">
        <v>99</v>
      </c>
      <c r="C33" s="46"/>
      <c r="D33" s="46"/>
      <c r="E33" s="46"/>
      <c r="F33" s="46"/>
      <c r="G33" s="46"/>
      <c r="H33" s="47"/>
    </row>
    <row r="34" spans="1:8" x14ac:dyDescent="0.25">
      <c r="A34" s="43"/>
      <c r="B34" s="46" t="s">
        <v>96</v>
      </c>
      <c r="C34" s="46"/>
      <c r="D34" s="46"/>
      <c r="E34" s="46"/>
      <c r="F34" s="46"/>
      <c r="G34" s="46"/>
      <c r="H34" s="47"/>
    </row>
    <row r="35" spans="1:8" x14ac:dyDescent="0.25">
      <c r="A35" s="43"/>
      <c r="B35" s="42"/>
      <c r="C35" s="42"/>
      <c r="D35" s="42"/>
      <c r="E35" s="42"/>
      <c r="F35" s="42"/>
      <c r="G35" s="42"/>
      <c r="H35" s="29"/>
    </row>
    <row r="36" spans="1:8" ht="15.75" x14ac:dyDescent="0.25">
      <c r="A36" s="40" t="s">
        <v>97</v>
      </c>
      <c r="B36" s="38"/>
      <c r="C36" s="38"/>
      <c r="D36" s="38"/>
      <c r="E36" s="38"/>
      <c r="F36" s="38"/>
      <c r="G36" s="38"/>
      <c r="H36" s="55"/>
    </row>
    <row r="37" spans="1:8" x14ac:dyDescent="0.25">
      <c r="A37" s="41" t="s">
        <v>88</v>
      </c>
      <c r="B37" s="42" t="str">
        <f>RIGHT(B22,6)</f>
        <v>LATHA"</v>
      </c>
      <c r="C37" s="42"/>
      <c r="D37" s="42"/>
      <c r="E37" s="42"/>
      <c r="F37" s="42"/>
      <c r="G37" s="42"/>
      <c r="H37" s="29"/>
    </row>
    <row r="38" spans="1:8" x14ac:dyDescent="0.25">
      <c r="A38" s="43"/>
      <c r="B38" s="46" t="s">
        <v>100</v>
      </c>
      <c r="C38" s="46"/>
      <c r="D38" s="46"/>
      <c r="E38" s="46"/>
      <c r="F38" s="46"/>
      <c r="G38" s="46"/>
      <c r="H38" s="47"/>
    </row>
    <row r="39" spans="1:8" x14ac:dyDescent="0.25">
      <c r="A39" s="43"/>
      <c r="B39" s="46" t="s">
        <v>96</v>
      </c>
      <c r="C39" s="46"/>
      <c r="D39" s="46"/>
      <c r="E39" s="46"/>
      <c r="F39" s="46"/>
      <c r="G39" s="46"/>
      <c r="H39" s="47"/>
    </row>
    <row r="40" spans="1:8" x14ac:dyDescent="0.25">
      <c r="A40" s="43"/>
      <c r="B40" s="42"/>
      <c r="C40" s="42"/>
      <c r="D40" s="42"/>
      <c r="E40" s="42"/>
      <c r="F40" s="42"/>
      <c r="G40" s="42"/>
      <c r="H40" s="29"/>
    </row>
    <row r="41" spans="1:8" ht="15.75" x14ac:dyDescent="0.25">
      <c r="A41" s="40" t="s">
        <v>98</v>
      </c>
      <c r="B41" s="38"/>
      <c r="C41" s="38"/>
      <c r="D41" s="38"/>
      <c r="E41" s="38"/>
      <c r="F41" s="38"/>
      <c r="G41" s="38"/>
      <c r="H41" s="55"/>
    </row>
    <row r="42" spans="1:8" x14ac:dyDescent="0.25">
      <c r="A42" s="41" t="s">
        <v>88</v>
      </c>
      <c r="B42" s="42" t="str">
        <f>MID(B22,3,9)</f>
        <v>NEHA LATH</v>
      </c>
      <c r="C42" s="42"/>
      <c r="D42" s="42"/>
      <c r="E42" s="42"/>
      <c r="F42" s="42"/>
      <c r="G42" s="42"/>
      <c r="H42" s="29"/>
    </row>
    <row r="43" spans="1:8" ht="37.5" customHeight="1" x14ac:dyDescent="0.25">
      <c r="A43" s="43"/>
      <c r="B43" s="53" t="s">
        <v>101</v>
      </c>
      <c r="C43" s="53"/>
      <c r="D43" s="53"/>
      <c r="E43" s="53"/>
      <c r="F43" s="53"/>
      <c r="G43" s="53"/>
      <c r="H43" s="54"/>
    </row>
    <row r="44" spans="1:8" x14ac:dyDescent="0.25">
      <c r="A44" s="43"/>
      <c r="B44" s="46" t="s">
        <v>96</v>
      </c>
      <c r="C44" s="46"/>
      <c r="D44" s="46"/>
      <c r="E44" s="46"/>
      <c r="F44" s="46"/>
      <c r="G44" s="46"/>
      <c r="H44" s="47"/>
    </row>
    <row r="45" spans="1:8" x14ac:dyDescent="0.25">
      <c r="A45" s="48"/>
      <c r="B45" s="49"/>
      <c r="C45" s="49"/>
      <c r="D45" s="49"/>
      <c r="E45" s="49"/>
      <c r="F45" s="49"/>
      <c r="G45" s="49"/>
      <c r="H45" s="30"/>
    </row>
    <row r="46" spans="1:8" ht="18.75" x14ac:dyDescent="0.25">
      <c r="A46" s="34" t="s">
        <v>102</v>
      </c>
      <c r="B46" s="33" t="s">
        <v>103</v>
      </c>
      <c r="C46" s="33"/>
      <c r="D46" s="33"/>
      <c r="E46" s="33"/>
      <c r="F46" s="33"/>
      <c r="G46" s="33"/>
      <c r="H46" s="33"/>
    </row>
    <row r="47" spans="1:8" x14ac:dyDescent="0.25">
      <c r="A47" s="56" t="s">
        <v>104</v>
      </c>
      <c r="B47" s="50"/>
      <c r="C47" s="50"/>
      <c r="D47" s="50"/>
      <c r="E47" s="50"/>
      <c r="F47" s="50"/>
      <c r="G47" s="50"/>
      <c r="H47" s="57"/>
    </row>
    <row r="48" spans="1:8" x14ac:dyDescent="0.25">
      <c r="A48" s="58" t="s">
        <v>105</v>
      </c>
      <c r="B48" s="51"/>
      <c r="C48" s="51"/>
      <c r="D48" s="51"/>
      <c r="E48" s="51"/>
      <c r="F48" s="51"/>
      <c r="G48" s="51"/>
      <c r="H48" s="52"/>
    </row>
    <row r="49" spans="1:8" x14ac:dyDescent="0.25">
      <c r="A49" s="58" t="s">
        <v>106</v>
      </c>
      <c r="B49" s="51"/>
      <c r="C49" s="51"/>
      <c r="D49" s="51"/>
      <c r="E49" s="51"/>
      <c r="F49" s="51"/>
      <c r="G49" s="51"/>
      <c r="H49" s="52"/>
    </row>
    <row r="50" spans="1:8" x14ac:dyDescent="0.25">
      <c r="A50" s="58" t="s">
        <v>107</v>
      </c>
      <c r="B50" s="51"/>
      <c r="C50" s="51"/>
      <c r="D50" s="51"/>
      <c r="E50" s="51"/>
      <c r="F50" s="51"/>
      <c r="G50" s="51"/>
      <c r="H50" s="52"/>
    </row>
    <row r="51" spans="1:8" x14ac:dyDescent="0.25">
      <c r="A51" s="43"/>
      <c r="B51" s="42"/>
      <c r="C51" s="42"/>
      <c r="D51" s="42"/>
      <c r="E51" s="42"/>
      <c r="F51" s="42"/>
      <c r="G51" s="42"/>
      <c r="H51" s="29"/>
    </row>
    <row r="52" spans="1:8" ht="15.75" x14ac:dyDescent="0.25">
      <c r="A52" s="40" t="s">
        <v>108</v>
      </c>
      <c r="B52" s="38"/>
      <c r="C52" s="38"/>
      <c r="D52" s="38"/>
      <c r="E52" s="38"/>
      <c r="F52" s="38"/>
      <c r="G52" s="38"/>
      <c r="H52" s="55"/>
    </row>
    <row r="53" spans="1:8" x14ac:dyDescent="0.25">
      <c r="A53" s="41" t="s">
        <v>88</v>
      </c>
      <c r="B53" s="59">
        <f ca="1">TODAY()</f>
        <v>46030</v>
      </c>
      <c r="C53" s="42"/>
      <c r="D53" s="42"/>
      <c r="E53" s="42"/>
      <c r="F53" s="42"/>
      <c r="G53" s="42"/>
      <c r="H53" s="29"/>
    </row>
    <row r="54" spans="1:8" x14ac:dyDescent="0.25">
      <c r="A54" s="43"/>
      <c r="B54" s="42" t="s">
        <v>109</v>
      </c>
      <c r="C54" s="42"/>
      <c r="D54" s="42"/>
      <c r="E54" s="42"/>
      <c r="F54" s="42"/>
      <c r="G54" s="42"/>
      <c r="H54" s="29"/>
    </row>
    <row r="55" spans="1:8" x14ac:dyDescent="0.25">
      <c r="A55" s="43"/>
      <c r="B55" s="42" t="s">
        <v>110</v>
      </c>
      <c r="C55" s="42"/>
      <c r="D55" s="42"/>
      <c r="E55" s="42"/>
      <c r="F55" s="42"/>
      <c r="G55" s="42"/>
      <c r="H55" s="29"/>
    </row>
    <row r="56" spans="1:8" x14ac:dyDescent="0.25">
      <c r="A56" s="43"/>
      <c r="B56" s="42"/>
      <c r="C56" s="42"/>
      <c r="D56" s="42"/>
      <c r="E56" s="42"/>
      <c r="F56" s="42"/>
      <c r="G56" s="42"/>
      <c r="H56" s="29"/>
    </row>
    <row r="57" spans="1:8" ht="15.75" x14ac:dyDescent="0.25">
      <c r="A57" s="40" t="s">
        <v>111</v>
      </c>
      <c r="B57" s="38"/>
      <c r="C57" s="38"/>
      <c r="D57" s="38"/>
      <c r="E57" s="38"/>
      <c r="F57" s="38"/>
      <c r="G57" s="38"/>
      <c r="H57" s="55"/>
    </row>
    <row r="58" spans="1:8" x14ac:dyDescent="0.25">
      <c r="A58" s="41" t="s">
        <v>88</v>
      </c>
      <c r="B58" s="60">
        <f ca="1">NOW()</f>
        <v>46030.751422222223</v>
      </c>
      <c r="C58" s="42"/>
      <c r="D58" s="42"/>
      <c r="E58" s="42"/>
      <c r="F58" s="42"/>
      <c r="G58" s="42"/>
      <c r="H58" s="29"/>
    </row>
    <row r="59" spans="1:8" x14ac:dyDescent="0.25">
      <c r="A59" s="43"/>
      <c r="B59" s="42"/>
      <c r="C59" s="42"/>
      <c r="D59" s="42"/>
      <c r="E59" s="42"/>
      <c r="F59" s="42"/>
      <c r="G59" s="42"/>
      <c r="H59" s="29"/>
    </row>
    <row r="60" spans="1:8" ht="15" customHeight="1" x14ac:dyDescent="0.25">
      <c r="A60" s="61" t="s">
        <v>112</v>
      </c>
      <c r="B60" s="62"/>
      <c r="C60" s="62"/>
      <c r="D60" s="62"/>
      <c r="E60" s="62"/>
      <c r="F60" s="62"/>
      <c r="G60" s="62"/>
      <c r="H60" s="63"/>
    </row>
    <row r="61" spans="1:8" x14ac:dyDescent="0.25">
      <c r="A61" s="61"/>
      <c r="B61" s="62"/>
      <c r="C61" s="62"/>
      <c r="D61" s="62"/>
      <c r="E61" s="62"/>
      <c r="F61" s="62"/>
      <c r="G61" s="62"/>
      <c r="H61" s="63"/>
    </row>
    <row r="62" spans="1:8" x14ac:dyDescent="0.25">
      <c r="A62" s="43"/>
      <c r="B62" s="46" t="s">
        <v>113</v>
      </c>
      <c r="C62" s="46"/>
      <c r="D62" s="46"/>
      <c r="E62" s="46"/>
      <c r="F62" s="46"/>
      <c r="G62" s="46"/>
      <c r="H62" s="47"/>
    </row>
    <row r="63" spans="1:8" x14ac:dyDescent="0.25">
      <c r="A63" s="43"/>
      <c r="B63" s="46" t="s">
        <v>114</v>
      </c>
      <c r="C63" s="46"/>
      <c r="D63" s="46"/>
      <c r="E63" s="46"/>
      <c r="F63" s="46"/>
      <c r="G63" s="46"/>
      <c r="H63" s="47"/>
    </row>
    <row r="64" spans="1:8" ht="15.75" x14ac:dyDescent="0.25">
      <c r="A64" s="40" t="s">
        <v>115</v>
      </c>
      <c r="B64" s="38"/>
      <c r="C64" s="38"/>
      <c r="D64" s="38"/>
      <c r="E64" s="38"/>
      <c r="F64" s="38"/>
      <c r="G64" s="38"/>
      <c r="H64" s="55"/>
    </row>
    <row r="65" spans="1:10" x14ac:dyDescent="0.25">
      <c r="A65" s="41" t="s">
        <v>88</v>
      </c>
      <c r="B65" s="59">
        <f>DATE(2002,5,22)</f>
        <v>37398</v>
      </c>
      <c r="C65" s="42"/>
      <c r="D65" s="42"/>
      <c r="E65" s="42"/>
      <c r="F65" s="42"/>
      <c r="G65" s="42"/>
      <c r="H65" s="29"/>
    </row>
    <row r="66" spans="1:10" x14ac:dyDescent="0.25">
      <c r="A66" s="43"/>
      <c r="B66" s="51" t="s">
        <v>116</v>
      </c>
      <c r="C66" s="51"/>
      <c r="D66" s="51"/>
      <c r="E66" s="51"/>
      <c r="F66" s="51"/>
      <c r="G66" s="51"/>
      <c r="H66" s="52"/>
    </row>
    <row r="67" spans="1:10" x14ac:dyDescent="0.25">
      <c r="A67" s="43"/>
      <c r="B67" s="42"/>
      <c r="C67" s="42"/>
      <c r="D67" s="42"/>
      <c r="E67" s="42"/>
      <c r="F67" s="42"/>
      <c r="G67" s="42"/>
      <c r="H67" s="29"/>
    </row>
    <row r="68" spans="1:10" ht="15.75" x14ac:dyDescent="0.25">
      <c r="A68" s="40" t="s">
        <v>119</v>
      </c>
      <c r="B68" s="38"/>
      <c r="C68" s="38"/>
      <c r="D68" s="38"/>
      <c r="E68" s="38"/>
      <c r="F68" s="38"/>
      <c r="G68" s="38"/>
      <c r="H68" s="55"/>
    </row>
    <row r="69" spans="1:10" x14ac:dyDescent="0.25">
      <c r="A69" s="41" t="s">
        <v>88</v>
      </c>
      <c r="B69" s="42">
        <f ca="1">DATEDIF(B65,TODAY(),"Y")</f>
        <v>23</v>
      </c>
      <c r="C69" s="42">
        <f ca="1">DATEDIF(B65,TODAY(),"YM")</f>
        <v>7</v>
      </c>
      <c r="D69" s="42">
        <f ca="1">DATEDIF(B65,TODAY(),"MD")</f>
        <v>17</v>
      </c>
      <c r="E69" s="42"/>
      <c r="F69" s="42"/>
      <c r="G69" s="42"/>
      <c r="H69" s="29"/>
    </row>
    <row r="70" spans="1:10" x14ac:dyDescent="0.25">
      <c r="A70" s="43"/>
      <c r="B70" s="46" t="s">
        <v>117</v>
      </c>
      <c r="C70" s="46"/>
      <c r="D70" s="46"/>
      <c r="E70" s="46"/>
      <c r="F70" s="46"/>
      <c r="G70" s="46"/>
      <c r="H70" s="47"/>
    </row>
    <row r="71" spans="1:10" x14ac:dyDescent="0.25">
      <c r="A71" s="43"/>
      <c r="B71" s="46" t="s">
        <v>117</v>
      </c>
      <c r="C71" s="46"/>
      <c r="D71" s="46"/>
      <c r="E71" s="46"/>
      <c r="F71" s="46"/>
      <c r="G71" s="46"/>
      <c r="H71" s="47"/>
    </row>
    <row r="72" spans="1:10" ht="29.25" customHeight="1" x14ac:dyDescent="0.25">
      <c r="A72" s="43"/>
      <c r="B72" s="53" t="s">
        <v>118</v>
      </c>
      <c r="C72" s="53"/>
      <c r="D72" s="53"/>
      <c r="E72" s="53"/>
      <c r="F72" s="53"/>
      <c r="G72" s="53"/>
      <c r="H72" s="54"/>
    </row>
    <row r="73" spans="1:10" x14ac:dyDescent="0.25">
      <c r="A73" s="43"/>
      <c r="B73" s="59"/>
      <c r="C73" s="42"/>
      <c r="D73" s="42"/>
      <c r="E73" s="42"/>
      <c r="F73" s="42"/>
      <c r="G73" s="42"/>
      <c r="H73" s="29"/>
    </row>
    <row r="74" spans="1:10" ht="15.75" x14ac:dyDescent="0.25">
      <c r="A74" s="40" t="s">
        <v>120</v>
      </c>
      <c r="B74" s="38"/>
      <c r="C74" s="38"/>
      <c r="D74" s="38"/>
      <c r="E74" s="38"/>
      <c r="F74" s="38"/>
      <c r="G74" s="38"/>
      <c r="H74" s="55"/>
    </row>
    <row r="75" spans="1:10" x14ac:dyDescent="0.25">
      <c r="A75" s="41" t="s">
        <v>88</v>
      </c>
      <c r="B75" s="64">
        <f>DAY(B65)</f>
        <v>22</v>
      </c>
      <c r="C75" s="42">
        <f>MONTH(B65)</f>
        <v>5</v>
      </c>
      <c r="D75" s="42">
        <f>YEAR(B65)</f>
        <v>2002</v>
      </c>
      <c r="E75" s="42"/>
      <c r="F75" s="42"/>
      <c r="G75" s="42"/>
      <c r="H75" s="29"/>
      <c r="J75" s="23"/>
    </row>
    <row r="76" spans="1:10" x14ac:dyDescent="0.25">
      <c r="A76" s="43"/>
      <c r="B76" s="64">
        <f ca="1">TODAY()-B65</f>
        <v>8632</v>
      </c>
      <c r="C76" s="42"/>
      <c r="D76" s="42"/>
      <c r="E76" s="42"/>
      <c r="F76" s="42"/>
      <c r="G76" s="42"/>
      <c r="H76" s="29"/>
    </row>
    <row r="77" spans="1:10" x14ac:dyDescent="0.25">
      <c r="A77" s="43"/>
      <c r="B77" s="42"/>
      <c r="C77" s="42"/>
      <c r="D77" s="42"/>
      <c r="E77" s="42"/>
      <c r="F77" s="42"/>
      <c r="G77" s="42"/>
      <c r="H77" s="29"/>
    </row>
    <row r="78" spans="1:10" x14ac:dyDescent="0.25">
      <c r="A78" s="43"/>
      <c r="B78" s="46" t="s">
        <v>121</v>
      </c>
      <c r="C78" s="46"/>
      <c r="D78" s="46"/>
      <c r="E78" s="46"/>
      <c r="F78" s="46"/>
      <c r="G78" s="46"/>
      <c r="H78" s="29"/>
    </row>
    <row r="79" spans="1:10" x14ac:dyDescent="0.25">
      <c r="A79" s="43"/>
      <c r="B79" s="46" t="s">
        <v>122</v>
      </c>
      <c r="C79" s="46"/>
      <c r="D79" s="46"/>
      <c r="E79" s="46"/>
      <c r="F79" s="46"/>
      <c r="G79" s="46"/>
      <c r="H79" s="29"/>
    </row>
    <row r="80" spans="1:10" x14ac:dyDescent="0.25">
      <c r="A80" s="43"/>
      <c r="B80" s="46" t="s">
        <v>123</v>
      </c>
      <c r="C80" s="46"/>
      <c r="D80" s="46"/>
      <c r="E80" s="46"/>
      <c r="F80" s="46"/>
      <c r="G80" s="46"/>
      <c r="H80" s="29"/>
    </row>
    <row r="81" spans="1:8" x14ac:dyDescent="0.25">
      <c r="A81" s="43"/>
      <c r="B81" s="42"/>
      <c r="C81" s="42"/>
      <c r="D81" s="42"/>
      <c r="E81" s="42"/>
      <c r="F81" s="42"/>
      <c r="G81" s="42"/>
      <c r="H81" s="29"/>
    </row>
    <row r="82" spans="1:8" x14ac:dyDescent="0.25">
      <c r="A82" s="48"/>
      <c r="B82" s="65"/>
      <c r="C82" s="49"/>
      <c r="D82" s="49"/>
      <c r="E82" s="49"/>
      <c r="F82" s="49"/>
      <c r="G82" s="49"/>
      <c r="H82" s="30"/>
    </row>
    <row r="83" spans="1:8" x14ac:dyDescent="0.25">
      <c r="A83" s="66"/>
      <c r="B83" s="67"/>
      <c r="C83" s="67"/>
      <c r="D83" s="67"/>
      <c r="E83" s="67"/>
      <c r="F83" s="67"/>
      <c r="G83" s="67"/>
      <c r="H83" s="28"/>
    </row>
    <row r="84" spans="1:8" ht="21" x14ac:dyDescent="0.35">
      <c r="A84" s="68" t="s">
        <v>88</v>
      </c>
      <c r="B84" s="42"/>
      <c r="C84" s="42"/>
      <c r="D84" s="42"/>
      <c r="E84" s="42"/>
      <c r="F84" s="42"/>
      <c r="G84" s="42"/>
      <c r="H84" s="29"/>
    </row>
    <row r="85" spans="1:8" x14ac:dyDescent="0.25">
      <c r="A85" s="43"/>
      <c r="B85" s="69" t="s">
        <v>1</v>
      </c>
      <c r="C85" s="69" t="s">
        <v>4</v>
      </c>
      <c r="D85" s="69" t="s">
        <v>80</v>
      </c>
      <c r="E85" s="69" t="s">
        <v>124</v>
      </c>
      <c r="F85" s="42"/>
      <c r="G85" s="42"/>
      <c r="H85" s="29"/>
    </row>
    <row r="86" spans="1:8" x14ac:dyDescent="0.25">
      <c r="A86" s="43"/>
      <c r="B86" s="45" t="s">
        <v>16</v>
      </c>
      <c r="C86" s="45">
        <v>78</v>
      </c>
      <c r="D86" s="45">
        <v>85</v>
      </c>
      <c r="E86" s="42" t="str">
        <f>IF(AND(C86&gt;=35,D86&gt;=75),"PASS","FAIL")</f>
        <v>PASS</v>
      </c>
      <c r="F86" s="42" t="str">
        <f>IF(C86&gt;=75,"DESTINATION",IF(C86&gt;=40,"PASS","FAIL"))</f>
        <v>DESTINATION</v>
      </c>
      <c r="G86" s="42"/>
      <c r="H86" s="29"/>
    </row>
    <row r="87" spans="1:8" x14ac:dyDescent="0.25">
      <c r="A87" s="43"/>
      <c r="B87" s="45" t="s">
        <v>0</v>
      </c>
      <c r="C87" s="45">
        <v>35</v>
      </c>
      <c r="D87" s="45">
        <v>92</v>
      </c>
      <c r="E87" s="42" t="str">
        <f>IF(AND(C87&gt;=35, D87&gt;=75),"PASS","FAIL")</f>
        <v>PASS</v>
      </c>
      <c r="F87" s="42" t="str">
        <f t="shared" ref="F87:F89" si="2">IF(C87&gt;=75,"DESTINATION",IF(C87&gt;=40,"PASS","FAIL"))</f>
        <v>FAIL</v>
      </c>
      <c r="G87" s="42"/>
      <c r="H87" s="29"/>
    </row>
    <row r="88" spans="1:8" x14ac:dyDescent="0.25">
      <c r="A88" s="43"/>
      <c r="B88" s="45" t="s">
        <v>17</v>
      </c>
      <c r="C88" s="45">
        <v>62</v>
      </c>
      <c r="D88" s="45">
        <v>60</v>
      </c>
      <c r="E88" s="42" t="str">
        <f>IF(AND(C88&gt;=35, D88&gt;=75),"PASS","FAIL")</f>
        <v>FAIL</v>
      </c>
      <c r="F88" s="42" t="str">
        <f t="shared" si="2"/>
        <v>PASS</v>
      </c>
      <c r="G88" s="42"/>
      <c r="H88" s="29"/>
    </row>
    <row r="89" spans="1:8" x14ac:dyDescent="0.25">
      <c r="A89" s="43"/>
      <c r="B89" s="45" t="s">
        <v>27</v>
      </c>
      <c r="C89" s="45">
        <v>90</v>
      </c>
      <c r="D89" s="45">
        <v>88</v>
      </c>
      <c r="E89" s="42" t="str">
        <f>IF(AND(C89&gt;=35, D89&gt;=75),"PASS","FAIL")</f>
        <v>PASS</v>
      </c>
      <c r="F89" s="42" t="str">
        <f t="shared" si="2"/>
        <v>DESTINATION</v>
      </c>
      <c r="G89" s="42"/>
      <c r="H89" s="29"/>
    </row>
    <row r="90" spans="1:8" x14ac:dyDescent="0.25">
      <c r="A90" s="48"/>
      <c r="B90" s="49"/>
      <c r="C90" s="49"/>
      <c r="D90" s="49"/>
      <c r="E90" s="49"/>
      <c r="F90" s="49"/>
      <c r="G90" s="49"/>
      <c r="H90" s="30"/>
    </row>
  </sheetData>
  <mergeCells count="35">
    <mergeCell ref="B72:H72"/>
    <mergeCell ref="A74:H74"/>
    <mergeCell ref="B78:G78"/>
    <mergeCell ref="B79:G79"/>
    <mergeCell ref="B80:G80"/>
    <mergeCell ref="B63:H63"/>
    <mergeCell ref="A64:H64"/>
    <mergeCell ref="B66:H66"/>
    <mergeCell ref="A68:H68"/>
    <mergeCell ref="B70:H70"/>
    <mergeCell ref="B71:H71"/>
    <mergeCell ref="A52:H52"/>
    <mergeCell ref="A57:H57"/>
    <mergeCell ref="A60:H61"/>
    <mergeCell ref="B62:H62"/>
    <mergeCell ref="A49:H49"/>
    <mergeCell ref="A50:H50"/>
    <mergeCell ref="A20:H20"/>
    <mergeCell ref="A26:H26"/>
    <mergeCell ref="A31:H31"/>
    <mergeCell ref="A36:H36"/>
    <mergeCell ref="A41:H41"/>
    <mergeCell ref="B43:H43"/>
    <mergeCell ref="B39:H39"/>
    <mergeCell ref="B44:H44"/>
    <mergeCell ref="B46:H46"/>
    <mergeCell ref="A47:H47"/>
    <mergeCell ref="A48:H48"/>
    <mergeCell ref="B33:H33"/>
    <mergeCell ref="B34:H34"/>
    <mergeCell ref="B38:H38"/>
    <mergeCell ref="B2:H2"/>
    <mergeCell ref="A19:E19"/>
    <mergeCell ref="A1:H1"/>
    <mergeCell ref="B18:H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E5F86-98B9-4486-8231-AF8A8406ECEE}">
  <dimension ref="A1:H17"/>
  <sheetViews>
    <sheetView workbookViewId="0">
      <selection activeCell="I27" sqref="I27"/>
    </sheetView>
  </sheetViews>
  <sheetFormatPr defaultRowHeight="15" x14ac:dyDescent="0.25"/>
  <cols>
    <col min="1" max="1" width="12.42578125" customWidth="1"/>
    <col min="2" max="2" width="10.85546875" customWidth="1"/>
    <col min="3" max="3" width="14.5703125" customWidth="1"/>
    <col min="4" max="4" width="10.85546875" customWidth="1"/>
    <col min="5" max="5" width="11.140625" customWidth="1"/>
  </cols>
  <sheetData>
    <row r="1" spans="1:8" x14ac:dyDescent="0.25">
      <c r="A1" s="8" t="s">
        <v>44</v>
      </c>
      <c r="B1" s="8" t="s">
        <v>1</v>
      </c>
      <c r="C1" s="8" t="s">
        <v>26</v>
      </c>
      <c r="D1" s="8" t="s">
        <v>4</v>
      </c>
      <c r="E1" s="8" t="s">
        <v>54</v>
      </c>
      <c r="F1" s="8" t="s">
        <v>60</v>
      </c>
      <c r="G1" s="14"/>
      <c r="H1" s="15"/>
    </row>
    <row r="2" spans="1:8" x14ac:dyDescent="0.25">
      <c r="A2" s="10" t="s">
        <v>45</v>
      </c>
      <c r="B2" s="10" t="s">
        <v>16</v>
      </c>
      <c r="C2" s="10" t="s">
        <v>28</v>
      </c>
      <c r="D2" s="10">
        <v>78</v>
      </c>
      <c r="E2" s="10" t="str">
        <f>IF(D2&gt;=35,"PASS","FAIL")</f>
        <v>PASS</v>
      </c>
      <c r="F2" s="10" t="str">
        <f t="shared" ref="F2:F5" si="0">IF(D2&gt;=90,"A",IF(D2&gt;=75,"B",IF(D2&gt;=60,"C",IF(D2&gt;=35,"D","FAIL"))))</f>
        <v>B</v>
      </c>
    </row>
    <row r="3" spans="1:8" x14ac:dyDescent="0.25">
      <c r="A3" s="10" t="s">
        <v>46</v>
      </c>
      <c r="B3" s="10" t="s">
        <v>0</v>
      </c>
      <c r="C3" s="10" t="s">
        <v>29</v>
      </c>
      <c r="D3" s="10">
        <v>92</v>
      </c>
      <c r="E3" s="10" t="str">
        <f t="shared" ref="E3:E11" si="1">IF(D3&gt;=35,"PASS","FAIL")</f>
        <v>PASS</v>
      </c>
      <c r="F3" s="10" t="str">
        <f t="shared" si="0"/>
        <v>A</v>
      </c>
    </row>
    <row r="4" spans="1:8" x14ac:dyDescent="0.25">
      <c r="A4" s="10" t="s">
        <v>47</v>
      </c>
      <c r="B4" s="10" t="s">
        <v>17</v>
      </c>
      <c r="C4" s="10" t="s">
        <v>28</v>
      </c>
      <c r="D4" s="10">
        <v>64</v>
      </c>
      <c r="E4" s="10" t="str">
        <f t="shared" si="1"/>
        <v>PASS</v>
      </c>
      <c r="F4" s="10" t="str">
        <f t="shared" si="0"/>
        <v>C</v>
      </c>
    </row>
    <row r="5" spans="1:8" x14ac:dyDescent="0.25">
      <c r="A5" s="10" t="s">
        <v>48</v>
      </c>
      <c r="B5" s="10" t="s">
        <v>27</v>
      </c>
      <c r="C5" s="10" t="s">
        <v>30</v>
      </c>
      <c r="D5" s="10">
        <v>35</v>
      </c>
      <c r="E5" s="10" t="str">
        <f t="shared" si="1"/>
        <v>PASS</v>
      </c>
      <c r="F5" s="10" t="str">
        <f t="shared" si="0"/>
        <v>D</v>
      </c>
    </row>
    <row r="6" spans="1:8" x14ac:dyDescent="0.25">
      <c r="A6" s="10" t="s">
        <v>49</v>
      </c>
      <c r="B6" s="10" t="s">
        <v>3</v>
      </c>
      <c r="C6" s="10" t="s">
        <v>29</v>
      </c>
      <c r="D6" s="10">
        <v>28</v>
      </c>
      <c r="E6" s="10" t="str">
        <f t="shared" si="1"/>
        <v>FAIL</v>
      </c>
      <c r="F6" s="10" t="str">
        <f>IF(D6&gt;=90,"A",IF(D6&gt;=75,"B",IF(D6&gt;=60,"C",IF(D6&gt;=35,"D","FAIL"))))</f>
        <v>FAIL</v>
      </c>
    </row>
    <row r="7" spans="1:8" x14ac:dyDescent="0.25">
      <c r="A7" s="10" t="s">
        <v>50</v>
      </c>
      <c r="B7" s="10" t="s">
        <v>52</v>
      </c>
      <c r="C7" s="10" t="s">
        <v>30</v>
      </c>
      <c r="D7" s="10">
        <v>85</v>
      </c>
      <c r="E7" s="10" t="str">
        <f t="shared" si="1"/>
        <v>PASS</v>
      </c>
      <c r="F7" s="10" t="str">
        <f t="shared" ref="F7:F11" si="2">IF(D7&gt;=90,"A",IF(D7&gt;=75,"B",IF(D7&gt;=60,"C",IF(D7&gt;=35,"D","FAIL"))))</f>
        <v>B</v>
      </c>
    </row>
    <row r="8" spans="1:8" x14ac:dyDescent="0.25">
      <c r="A8" s="10" t="s">
        <v>51</v>
      </c>
      <c r="B8" s="10" t="s">
        <v>53</v>
      </c>
      <c r="C8" s="10" t="s">
        <v>30</v>
      </c>
      <c r="D8" s="10">
        <v>45</v>
      </c>
      <c r="E8" s="10" t="str">
        <f t="shared" si="1"/>
        <v>PASS</v>
      </c>
      <c r="F8" s="10" t="str">
        <f t="shared" si="2"/>
        <v>D</v>
      </c>
    </row>
    <row r="9" spans="1:8" x14ac:dyDescent="0.25">
      <c r="A9" s="10" t="s">
        <v>55</v>
      </c>
      <c r="B9" s="10" t="s">
        <v>58</v>
      </c>
      <c r="C9" s="10" t="s">
        <v>29</v>
      </c>
      <c r="D9" s="10">
        <v>35</v>
      </c>
      <c r="E9" s="10" t="str">
        <f t="shared" si="1"/>
        <v>PASS</v>
      </c>
      <c r="F9" s="10" t="str">
        <f t="shared" si="2"/>
        <v>D</v>
      </c>
    </row>
    <row r="10" spans="1:8" x14ac:dyDescent="0.25">
      <c r="A10" s="10" t="s">
        <v>56</v>
      </c>
      <c r="B10" s="10" t="s">
        <v>59</v>
      </c>
      <c r="C10" s="10" t="s">
        <v>28</v>
      </c>
      <c r="D10" s="10">
        <v>34</v>
      </c>
      <c r="E10" s="10" t="str">
        <f t="shared" si="1"/>
        <v>FAIL</v>
      </c>
      <c r="F10" s="10" t="str">
        <f t="shared" si="2"/>
        <v>FAIL</v>
      </c>
    </row>
    <row r="11" spans="1:8" x14ac:dyDescent="0.25">
      <c r="A11" s="10" t="s">
        <v>57</v>
      </c>
      <c r="B11" s="10" t="s">
        <v>38</v>
      </c>
      <c r="C11" s="10" t="s">
        <v>28</v>
      </c>
      <c r="D11" s="10">
        <v>10</v>
      </c>
      <c r="E11" s="10" t="str">
        <f t="shared" si="1"/>
        <v>FAIL</v>
      </c>
      <c r="F11" s="10" t="str">
        <f t="shared" si="2"/>
        <v>FAIL</v>
      </c>
    </row>
    <row r="12" spans="1:8" x14ac:dyDescent="0.25">
      <c r="A12" s="22" t="s">
        <v>61</v>
      </c>
      <c r="B12" s="22"/>
      <c r="C12" s="2">
        <f>COUNTA(A2:A11)</f>
        <v>10</v>
      </c>
    </row>
    <row r="13" spans="1:8" x14ac:dyDescent="0.25">
      <c r="A13" s="22" t="s">
        <v>62</v>
      </c>
      <c r="B13" s="22"/>
      <c r="C13" s="10">
        <f>COUNTIF(E2:E11,"pass")</f>
        <v>7</v>
      </c>
    </row>
    <row r="14" spans="1:8" x14ac:dyDescent="0.25">
      <c r="A14" s="22" t="s">
        <v>63</v>
      </c>
      <c r="B14" s="22"/>
      <c r="C14" s="10">
        <f>COUNTIF(E2:E11,"fail")</f>
        <v>3</v>
      </c>
    </row>
    <row r="15" spans="1:8" x14ac:dyDescent="0.25">
      <c r="A15" s="22" t="s">
        <v>64</v>
      </c>
      <c r="B15" s="22"/>
      <c r="C15" s="10">
        <f>AVERAGE(D2:D11)</f>
        <v>50.6</v>
      </c>
    </row>
    <row r="16" spans="1:8" x14ac:dyDescent="0.25">
      <c r="A16" s="22" t="s">
        <v>65</v>
      </c>
      <c r="B16" s="22"/>
      <c r="C16" s="10">
        <f>MAX(D2:D11)</f>
        <v>92</v>
      </c>
    </row>
    <row r="17" spans="1:3" x14ac:dyDescent="0.25">
      <c r="A17" s="22" t="s">
        <v>66</v>
      </c>
      <c r="B17" s="22"/>
      <c r="C17" s="10">
        <f>MIN(D2:D11)</f>
        <v>10</v>
      </c>
    </row>
  </sheetData>
  <mergeCells count="6">
    <mergeCell ref="A17:B17"/>
    <mergeCell ref="A12:B12"/>
    <mergeCell ref="A13:B13"/>
    <mergeCell ref="A14:B14"/>
    <mergeCell ref="A15:B15"/>
    <mergeCell ref="A16:B16"/>
  </mergeCells>
  <phoneticPr fontId="3" type="noConversion"/>
  <conditionalFormatting sqref="E2:E11">
    <cfRule type="containsText" dxfId="2" priority="1" operator="containsText" text="FAIL">
      <formula>NOT(ISERROR(SEARCH("FAIL",E2)))</formula>
    </cfRule>
  </conditionalFormatting>
  <conditionalFormatting sqref="E2:E1048576">
    <cfRule type="containsText" dxfId="1" priority="2" operator="containsText" text="PASS">
      <formula>NOT(ISERROR(SEARCH("PASS",E2)))</formula>
    </cfRule>
  </conditionalFormatting>
  <conditionalFormatting sqref="G5">
    <cfRule type="containsText" dxfId="0" priority="4" operator="containsText" text="P$E$2">
      <formula>NOT(ISERROR(SEARCH("P$E$2",G5)))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D99677A7-6B9A-469B-8F6B-E0F098E26FB2}">
            <xm:f>NOT(ISERROR(SEARCH($E:$E(PASS),E2)))</xm:f>
            <xm:f>$E:$E(PASS)</xm:f>
            <x14:dxf>
              <font>
                <color rgb="FF006100"/>
              </font>
              <fill>
                <patternFill>
                  <bgColor rgb="FFC6EFCE"/>
                </patternFill>
              </fill>
            </x14:dxf>
          </x14:cfRule>
          <xm:sqref>E2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6765F-77E8-4C0C-8EB5-F392321692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Sheet1</vt:lpstr>
      <vt:lpstr>Sheet5</vt:lpstr>
      <vt:lpstr>ADVANCED EXCEL</vt:lpstr>
      <vt:lpstr>PROBLEM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KOPPULA SNEHALATHA</dc:creator>
  <cp:lastModifiedBy>KOPPULA SNEHALATHA</cp:lastModifiedBy>
  <dcterms:created xsi:type="dcterms:W3CDTF">2025-12-23T10:31:42Z</dcterms:created>
  <dcterms:modified xsi:type="dcterms:W3CDTF">2026-01-08T12:34:34Z</dcterms:modified>
</cp:coreProperties>
</file>